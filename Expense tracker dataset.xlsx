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5681e514aecaed8a/Documentos/Excel practice/"/>
    </mc:Choice>
  </mc:AlternateContent>
  <xr:revisionPtr revIDLastSave="589" documentId="8_{8CB3142D-1457-4ED5-939B-8538366450A1}" xr6:coauthVersionLast="47" xr6:coauthVersionMax="47" xr10:uidLastSave="{333C3CA6-5D31-49FC-A0EF-FEA0CE97618C}"/>
  <bookViews>
    <workbookView xWindow="-108" yWindow="-108" windowWidth="23256" windowHeight="12456" activeTab="3" xr2:uid="{C934B4B0-D68E-4D4A-B3FF-845BA2EC9C39}"/>
  </bookViews>
  <sheets>
    <sheet name="Analysis" sheetId="2" r:id="rId1"/>
    <sheet name="pivot table" sheetId="4" r:id="rId2"/>
    <sheet name="cleaned dataset" sheetId="1" r:id="rId3"/>
    <sheet name="Dashboard" sheetId="5" r:id="rId4"/>
  </sheets>
  <definedNames>
    <definedName name="NativeTimeline_Date">#N/A</definedName>
    <definedName name="Slicer_Category">#N/A</definedName>
  </definedNames>
  <calcPr calcId="191029"/>
  <pivotCaches>
    <pivotCache cacheId="0" r:id="rId5"/>
    <pivotCache cacheId="2"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8" i="2" l="1"/>
  <c r="I8" i="1"/>
  <c r="I17" i="2"/>
  <c r="I7"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I8" i="2"/>
  <c r="I6" i="2"/>
  <c r="I6" i="1"/>
  <c r="I5" i="2"/>
  <c r="I5" i="1"/>
  <c r="I4" i="2"/>
  <c r="I4" i="1"/>
  <c r="I2" i="2"/>
  <c r="I3" i="1"/>
  <c r="I2" i="1"/>
</calcChain>
</file>

<file path=xl/sharedStrings.xml><?xml version="1.0" encoding="utf-8"?>
<sst xmlns="http://schemas.openxmlformats.org/spreadsheetml/2006/main" count="185" uniqueCount="61">
  <si>
    <t>Expense ID</t>
  </si>
  <si>
    <t>Date</t>
  </si>
  <si>
    <t>Category</t>
  </si>
  <si>
    <t>Description</t>
  </si>
  <si>
    <t>Payment Method</t>
  </si>
  <si>
    <t>Type</t>
  </si>
  <si>
    <t>Food</t>
  </si>
  <si>
    <t>Grocery</t>
  </si>
  <si>
    <t>UPI</t>
  </si>
  <si>
    <t>Essential</t>
  </si>
  <si>
    <t>Transport</t>
  </si>
  <si>
    <t>Bus Pass</t>
  </si>
  <si>
    <t>Cash</t>
  </si>
  <si>
    <t>Entertainment</t>
  </si>
  <si>
    <t>Movie</t>
  </si>
  <si>
    <t>Card</t>
  </si>
  <si>
    <t>Non-Essential</t>
  </si>
  <si>
    <t>Utilities</t>
  </si>
  <si>
    <t>Electricity Bill</t>
  </si>
  <si>
    <t>Shopping</t>
  </si>
  <si>
    <t>Clothes</t>
  </si>
  <si>
    <t>Restaurant</t>
  </si>
  <si>
    <t>Healthcare</t>
  </si>
  <si>
    <t>Medicines</t>
  </si>
  <si>
    <t>Fuel</t>
  </si>
  <si>
    <t>Education</t>
  </si>
  <si>
    <t>Online Course</t>
  </si>
  <si>
    <t>Groceries</t>
  </si>
  <si>
    <t>OTT Subscription</t>
  </si>
  <si>
    <t>Shoes</t>
  </si>
  <si>
    <t>Internet Bill</t>
  </si>
  <si>
    <t>Taxi</t>
  </si>
  <si>
    <t>Doctor Visit</t>
  </si>
  <si>
    <t>Books</t>
  </si>
  <si>
    <t>Electronics</t>
  </si>
  <si>
    <t>Gaming</t>
  </si>
  <si>
    <t>Water Bill</t>
  </si>
  <si>
    <t>Stationery</t>
  </si>
  <si>
    <t>Accessories</t>
  </si>
  <si>
    <t>Auto</t>
  </si>
  <si>
    <t>total monthly expense</t>
  </si>
  <si>
    <t>Which category has the highest spending</t>
  </si>
  <si>
    <t>(blank)</t>
  </si>
  <si>
    <t>Grand Total</t>
  </si>
  <si>
    <t>Row Labels</t>
  </si>
  <si>
    <t>Sum of Amount</t>
  </si>
  <si>
    <t>How much was spent on Food</t>
  </si>
  <si>
    <t xml:space="preserve">How much was spent on Essential </t>
  </si>
  <si>
    <t>vs Non-Essential expenses</t>
  </si>
  <si>
    <t>Which payment method was used most frequently</t>
  </si>
  <si>
    <t>Count of Payment Method</t>
  </si>
  <si>
    <t>What was the average expense per transaction</t>
  </si>
  <si>
    <t>Which was the highest individual expense</t>
  </si>
  <si>
    <t>Max of Amount</t>
  </si>
  <si>
    <t>How much was spent each week</t>
  </si>
  <si>
    <t>Week</t>
  </si>
  <si>
    <t>Which category has the highest number of transactions</t>
  </si>
  <si>
    <t>Count of Date</t>
  </si>
  <si>
    <t>What percentage of total spending was on Shopping</t>
  </si>
  <si>
    <t>What percentage of total spending was onTransport</t>
  </si>
  <si>
    <t>Amount(INR)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</si>
</sst>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449]\ #,##0.00"/>
    <numFmt numFmtId="166" formatCode="_ [$₹-449]\ * #,##0.00_ ;_ [$₹-449]\ * \-#,##0.00_ ;_ [$₹-449]\ * &quot;-&quot;??_ ;_ @_ "/>
  </numFmts>
  <fonts count="3" x14ac:knownFonts="1">
    <font>
      <sz val="11"/>
      <color theme="1"/>
      <name val="Calibri"/>
      <family val="2"/>
      <scheme val="minor"/>
    </font>
    <font>
      <b/>
      <sz val="11"/>
      <color theme="1"/>
      <name val="Calibri"/>
      <family val="2"/>
      <scheme val="minor"/>
    </font>
    <font>
      <b/>
      <sz val="12"/>
      <color theme="1"/>
      <name val="Aptos"/>
      <family val="2"/>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xf numFmtId="0" fontId="0" fillId="0" borderId="0" xfId="0" applyAlignment="1">
      <alignment horizontal="right" vertical="center" wrapText="1"/>
    </xf>
    <xf numFmtId="0" fontId="1" fillId="0" borderId="0" xfId="0" applyFont="1" applyAlignment="1">
      <alignment horizontal="right" vertical="center" wrapText="1"/>
    </xf>
    <xf numFmtId="0" fontId="1" fillId="0" borderId="0" xfId="0" applyFont="1" applyAlignment="1">
      <alignment horizontal="center" vertical="center" wrapText="1"/>
    </xf>
    <xf numFmtId="14" fontId="0" fillId="0" borderId="0" xfId="0" applyNumberFormat="1" applyAlignment="1">
      <alignment vertical="center" wrapText="1"/>
    </xf>
    <xf numFmtId="0" fontId="0" fillId="0" borderId="0" xfId="0" applyAlignment="1">
      <alignment vertical="center" wrapText="1"/>
    </xf>
    <xf numFmtId="0" fontId="2" fillId="0" borderId="0" xfId="0" applyFont="1"/>
    <xf numFmtId="0" fontId="0" fillId="0" borderId="0" xfId="0" pivotButton="1"/>
    <xf numFmtId="0" fontId="0" fillId="0" borderId="0" xfId="0" applyAlignment="1">
      <alignment horizontal="left"/>
    </xf>
    <xf numFmtId="0" fontId="1" fillId="0" borderId="0" xfId="0" applyFont="1"/>
    <xf numFmtId="0" fontId="2" fillId="0" borderId="0" xfId="0" applyFont="1" applyAlignment="1">
      <alignment horizontal="left" vertical="center" indent="1"/>
    </xf>
    <xf numFmtId="10" fontId="0" fillId="0" borderId="0" xfId="0" applyNumberFormat="1"/>
    <xf numFmtId="0" fontId="0" fillId="0" borderId="0" xfId="0" applyNumberFormat="1"/>
    <xf numFmtId="164" fontId="0" fillId="0" borderId="0" xfId="0" applyNumberFormat="1"/>
    <xf numFmtId="43" fontId="0" fillId="0" borderId="0" xfId="0" applyNumberFormat="1"/>
    <xf numFmtId="166" fontId="0" fillId="0" borderId="0" xfId="0" applyNumberFormat="1"/>
  </cellXfs>
  <cellStyles count="1">
    <cellStyle name="Normal" xfId="0" builtinId="0"/>
  </cellStyles>
  <dxfs count="52">
    <dxf>
      <numFmt numFmtId="164" formatCode="[$₹-449]\ #,##0.00"/>
    </dxf>
    <dxf>
      <numFmt numFmtId="35" formatCode="_(* #,##0.00_);_(* \(#,##0.00\);_(* &quot;-&quot;??_);_(@_)"/>
    </dxf>
    <dxf>
      <numFmt numFmtId="164" formatCode="[$₹-449]\ #,##0.00"/>
    </dxf>
    <dxf>
      <numFmt numFmtId="35" formatCode="_(* #,##0.00_);_(* \(#,##0.00\);_(* &quot;-&quot;??_);_(@_)"/>
    </dxf>
    <dxf>
      <numFmt numFmtId="164" formatCode="[$₹-449]\ #,##0.00"/>
    </dxf>
    <dxf>
      <numFmt numFmtId="35" formatCode="_(* #,##0.00_);_(* \(#,##0.00\);_(* &quot;-&quot;??_);_(@_)"/>
    </dxf>
    <dxf>
      <numFmt numFmtId="164" formatCode="[$₹-449]\ #,##0.00"/>
    </dxf>
    <dxf>
      <numFmt numFmtId="35" formatCode="_(* #,##0.00_);_(* \(#,##0.00\);_(* &quot;-&quot;??_);_(@_)"/>
    </dxf>
    <dxf>
      <numFmt numFmtId="164" formatCode="[$₹-449]\ #,##0.00"/>
    </dxf>
    <dxf>
      <numFmt numFmtId="35" formatCode="_(* #,##0.00_);_(* \(#,##0.00\);_(* &quot;-&quot;??_);_(@_)"/>
    </dxf>
    <dxf>
      <numFmt numFmtId="164" formatCode="[$₹-449]\ #,##0.00"/>
    </dxf>
    <dxf>
      <numFmt numFmtId="35" formatCode="_(* #,##0.00_);_(* \(#,##0.00\);_(* &quot;-&quot;??_);_(@_)"/>
    </dxf>
    <dxf>
      <numFmt numFmtId="164" formatCode="[$₹-449]\ #,##0.00"/>
    </dxf>
    <dxf>
      <numFmt numFmtId="35" formatCode="_(* #,##0.00_);_(* \(#,##0.00\);_(* &quot;-&quot;??_);_(@_)"/>
    </dxf>
    <dxf>
      <numFmt numFmtId="164" formatCode="[$₹-449]\ #,##0.00"/>
    </dxf>
    <dxf>
      <numFmt numFmtId="35" formatCode="_(* #,##0.00_);_(* \(#,##0.00\);_(* &quot;-&quot;??_);_(@_)"/>
    </dxf>
    <dxf>
      <numFmt numFmtId="164" formatCode="[$₹-449]\ #,##0.00"/>
    </dxf>
    <dxf>
      <numFmt numFmtId="35" formatCode="_(* #,##0.00_);_(* \(#,##0.00\);_(* &quot;-&quot;??_);_(@_)"/>
    </dxf>
    <dxf>
      <numFmt numFmtId="164" formatCode="[$₹-449]\ #,##0.00"/>
    </dxf>
    <dxf>
      <numFmt numFmtId="35" formatCode="_(* #,##0.00_);_(* \(#,##0.00\);_(* &quot;-&quot;??_);_(@_)"/>
    </dxf>
    <dxf>
      <numFmt numFmtId="164" formatCode="[$₹-449]\ #,##0.00"/>
    </dxf>
    <dxf>
      <numFmt numFmtId="35" formatCode="_(* #,##0.00_);_(* \(#,##0.00\);_(* &quot;-&quot;??_);_(@_)"/>
    </dxf>
    <dxf>
      <numFmt numFmtId="164" formatCode="[$₹-449]\ #,##0.00"/>
    </dxf>
    <dxf>
      <numFmt numFmtId="35" formatCode="_(* #,##0.00_);_(* \(#,##0.00\);_(* &quot;-&quot;??_);_(@_)"/>
    </dxf>
    <dxf>
      <numFmt numFmtId="164" formatCode="[$₹-449]\ #,##0.00"/>
    </dxf>
    <dxf>
      <numFmt numFmtId="35" formatCode="_(* #,##0.00_);_(* \(#,##0.00\);_(* &quot;-&quot;??_);_(@_)"/>
    </dxf>
    <dxf>
      <numFmt numFmtId="164" formatCode="[$₹-449]\ #,##0.00"/>
    </dxf>
    <dxf>
      <numFmt numFmtId="35" formatCode="_(* #,##0.00_);_(* \(#,##0.00\);_(* &quot;-&quot;??_);_(@_)"/>
    </dxf>
    <dxf>
      <numFmt numFmtId="164" formatCode="[$₹-449]\ #,##0.00"/>
    </dxf>
    <dxf>
      <numFmt numFmtId="35" formatCode="_(* #,##0.00_);_(* \(#,##0.00\);_(* &quot;-&quot;??_);_(@_)"/>
    </dxf>
    <dxf>
      <numFmt numFmtId="164" formatCode="[$₹-449]\ #,##0.00"/>
    </dxf>
    <dxf>
      <numFmt numFmtId="35" formatCode="_(* #,##0.00_);_(* \(#,##0.00\);_(* &quot;-&quot;??_);_(@_)"/>
    </dxf>
    <dxf>
      <numFmt numFmtId="164" formatCode="[$₹-449]\ #,##0.00"/>
    </dxf>
    <dxf>
      <numFmt numFmtId="35" formatCode="_(* #,##0.00_);_(* \(#,##0.00\);_(* &quot;-&quot;??_);_(@_)"/>
    </dxf>
    <dxf>
      <numFmt numFmtId="164" formatCode="[$₹-449]\ #,##0.00"/>
    </dxf>
    <dxf>
      <numFmt numFmtId="35" formatCode="_(* #,##0.00_);_(* \(#,##0.00\);_(* &quot;-&quot;??_);_(@_)"/>
    </dxf>
    <dxf>
      <numFmt numFmtId="164" formatCode="[$₹-449]\ #,##0.00"/>
    </dxf>
    <dxf>
      <numFmt numFmtId="35" formatCode="_(* #,##0.00_);_(* \(#,##0.00\);_(* &quot;-&quot;??_);_(@_)"/>
    </dxf>
    <dxf>
      <numFmt numFmtId="164" formatCode="[$₹-449]\ #,##0.00"/>
    </dxf>
    <dxf>
      <numFmt numFmtId="35" formatCode="_(* #,##0.00_);_(* \(#,##0.00\);_(* &quot;-&quot;??_);_(@_)"/>
    </dxf>
    <dxf>
      <numFmt numFmtId="35" formatCode="_(* #,##0.00_);_(* \(#,##0.00\);_(* &quot;-&quot;??_);_(@_)"/>
    </dxf>
    <dxf>
      <numFmt numFmtId="164" formatCode="[$₹-449]\ #,##0.00"/>
    </dxf>
    <dxf>
      <numFmt numFmtId="0" formatCode="General"/>
      <alignment horizontal="general" vertical="center" textRotation="0" wrapText="1" indent="0" justifyLastLine="0" shrinkToFit="0" readingOrder="0"/>
    </dxf>
    <dxf>
      <alignment horizontal="general" vertical="center" textRotation="0" wrapText="1" indent="0" justifyLastLine="0" shrinkToFit="0" readingOrder="0"/>
    </dxf>
    <dxf>
      <alignment horizontal="right"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9" formatCode="m/d/yyyy"/>
      <alignment horizontal="general" vertical="center" textRotation="0" wrapText="1" indent="0" justifyLastLine="0" shrinkToFit="0" readingOrder="0"/>
    </dxf>
    <dxf>
      <alignment horizontal="general" vertical="center" textRotation="0" wrapText="1" indent="0" justifyLastLine="0" shrinkToFit="0" readingOrder="0"/>
    </dxf>
    <dxf>
      <alignment horizontal="right"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 tracker dataset.xlsx]pivot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Expenses per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table'!$L$15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exp"/>
            <c:dispRSqr val="0"/>
            <c:dispEq val="0"/>
          </c:trendline>
          <c:trendline>
            <c:spPr>
              <a:ln w="19050" cap="rnd">
                <a:solidFill>
                  <a:schemeClr val="accent1"/>
                </a:solidFill>
                <a:prstDash val="sysDot"/>
              </a:ln>
              <a:effectLst/>
            </c:spPr>
            <c:trendlineType val="exp"/>
            <c:dispRSqr val="0"/>
            <c:dispEq val="0"/>
          </c:trendline>
          <c:trendline>
            <c:spPr>
              <a:ln w="19050" cap="rnd">
                <a:solidFill>
                  <a:schemeClr val="accent1"/>
                </a:solidFill>
                <a:prstDash val="sysDot"/>
              </a:ln>
              <a:effectLst/>
            </c:spPr>
            <c:trendlineType val="exp"/>
            <c:dispRSqr val="0"/>
            <c:dispEq val="0"/>
          </c:trendline>
          <c:cat>
            <c:strRef>
              <c:f>'pivot table'!$K$16:$K$24</c:f>
              <c:strCache>
                <c:ptCount val="8"/>
                <c:pt idx="0">
                  <c:v>Food</c:v>
                </c:pt>
                <c:pt idx="1">
                  <c:v>Shopping</c:v>
                </c:pt>
                <c:pt idx="2">
                  <c:v>Transport</c:v>
                </c:pt>
                <c:pt idx="3">
                  <c:v>Utilities</c:v>
                </c:pt>
                <c:pt idx="4">
                  <c:v>Entertainment</c:v>
                </c:pt>
                <c:pt idx="5">
                  <c:v>Education</c:v>
                </c:pt>
                <c:pt idx="6">
                  <c:v>Healthcare</c:v>
                </c:pt>
                <c:pt idx="7">
                  <c:v>(blank)</c:v>
                </c:pt>
              </c:strCache>
            </c:strRef>
          </c:cat>
          <c:val>
            <c:numRef>
              <c:f>'pivot table'!$L$16:$L$24</c:f>
              <c:numCache>
                <c:formatCode>General</c:formatCode>
                <c:ptCount val="8"/>
                <c:pt idx="0">
                  <c:v>14000</c:v>
                </c:pt>
                <c:pt idx="1">
                  <c:v>10600</c:v>
                </c:pt>
                <c:pt idx="2">
                  <c:v>5250</c:v>
                </c:pt>
                <c:pt idx="3">
                  <c:v>5249</c:v>
                </c:pt>
                <c:pt idx="4">
                  <c:v>3499</c:v>
                </c:pt>
                <c:pt idx="5">
                  <c:v>2300</c:v>
                </c:pt>
                <c:pt idx="6">
                  <c:v>2100</c:v>
                </c:pt>
              </c:numCache>
            </c:numRef>
          </c:val>
          <c:extLst>
            <c:ext xmlns:c16="http://schemas.microsoft.com/office/drawing/2014/chart" uri="{C3380CC4-5D6E-409C-BE32-E72D297353CC}">
              <c16:uniqueId val="{00000000-A26E-4C49-A90B-98BACEF2096D}"/>
            </c:ext>
          </c:extLst>
        </c:ser>
        <c:dLbls>
          <c:dLblPos val="outEnd"/>
          <c:showLegendKey val="0"/>
          <c:showVal val="1"/>
          <c:showCatName val="0"/>
          <c:showSerName val="0"/>
          <c:showPercent val="0"/>
          <c:showBubbleSize val="0"/>
        </c:dLbls>
        <c:gapWidth val="219"/>
        <c:overlap val="-27"/>
        <c:axId val="1805460175"/>
        <c:axId val="1233530095"/>
      </c:barChart>
      <c:catAx>
        <c:axId val="1805460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530095"/>
        <c:crosses val="autoZero"/>
        <c:auto val="1"/>
        <c:lblAlgn val="ctr"/>
        <c:lblOffset val="100"/>
        <c:noMultiLvlLbl val="0"/>
      </c:catAx>
      <c:valAx>
        <c:axId val="1233530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460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 tracker dataset.xlsx]pivot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Max Amount by Category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table'!$L$3</c:f>
              <c:strCache>
                <c:ptCount val="1"/>
                <c:pt idx="0">
                  <c:v>Total</c:v>
                </c:pt>
              </c:strCache>
            </c:strRef>
          </c:tx>
          <c:spPr>
            <a:solidFill>
              <a:schemeClr val="accent1"/>
            </a:solidFill>
            <a:ln>
              <a:noFill/>
            </a:ln>
            <a:effectLst/>
          </c:spPr>
          <c:invertIfNegative val="0"/>
          <c:cat>
            <c:strRef>
              <c:f>'pivot table'!$K$4:$K$12</c:f>
              <c:strCache>
                <c:ptCount val="8"/>
                <c:pt idx="0">
                  <c:v>Shopping</c:v>
                </c:pt>
                <c:pt idx="1">
                  <c:v>Food</c:v>
                </c:pt>
                <c:pt idx="2">
                  <c:v>Utilities</c:v>
                </c:pt>
                <c:pt idx="3">
                  <c:v>Transport</c:v>
                </c:pt>
                <c:pt idx="4">
                  <c:v>Entertainment</c:v>
                </c:pt>
                <c:pt idx="5">
                  <c:v>Education</c:v>
                </c:pt>
                <c:pt idx="6">
                  <c:v>Healthcare</c:v>
                </c:pt>
                <c:pt idx="7">
                  <c:v>(blank)</c:v>
                </c:pt>
              </c:strCache>
            </c:strRef>
          </c:cat>
          <c:val>
            <c:numRef>
              <c:f>'pivot table'!$L$4:$L$12</c:f>
              <c:numCache>
                <c:formatCode>[$₹-449]\ #,##0.00</c:formatCode>
                <c:ptCount val="8"/>
                <c:pt idx="0">
                  <c:v>4500</c:v>
                </c:pt>
                <c:pt idx="1">
                  <c:v>3100</c:v>
                </c:pt>
                <c:pt idx="2">
                  <c:v>1950</c:v>
                </c:pt>
                <c:pt idx="3">
                  <c:v>1800</c:v>
                </c:pt>
                <c:pt idx="4">
                  <c:v>1500</c:v>
                </c:pt>
                <c:pt idx="5">
                  <c:v>1200</c:v>
                </c:pt>
                <c:pt idx="6">
                  <c:v>1000</c:v>
                </c:pt>
              </c:numCache>
            </c:numRef>
          </c:val>
          <c:extLst>
            <c:ext xmlns:c16="http://schemas.microsoft.com/office/drawing/2014/chart" uri="{C3380CC4-5D6E-409C-BE32-E72D297353CC}">
              <c16:uniqueId val="{00000000-F43A-459A-86FB-E05C09212ACA}"/>
            </c:ext>
          </c:extLst>
        </c:ser>
        <c:dLbls>
          <c:showLegendKey val="0"/>
          <c:showVal val="0"/>
          <c:showCatName val="0"/>
          <c:showSerName val="0"/>
          <c:showPercent val="0"/>
          <c:showBubbleSize val="0"/>
        </c:dLbls>
        <c:gapWidth val="182"/>
        <c:axId val="1804111871"/>
        <c:axId val="1233557935"/>
      </c:barChart>
      <c:catAx>
        <c:axId val="18041118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557935"/>
        <c:crosses val="autoZero"/>
        <c:auto val="1"/>
        <c:lblAlgn val="ctr"/>
        <c:lblOffset val="100"/>
        <c:noMultiLvlLbl val="0"/>
      </c:catAx>
      <c:valAx>
        <c:axId val="1233557935"/>
        <c:scaling>
          <c:orientation val="minMax"/>
        </c:scaling>
        <c:delete val="0"/>
        <c:axPos val="b"/>
        <c:majorGridlines>
          <c:spPr>
            <a:ln w="9525" cap="flat" cmpd="sng" algn="ctr">
              <a:solidFill>
                <a:schemeClr val="tx1">
                  <a:lumMod val="15000"/>
                  <a:lumOff val="85000"/>
                </a:schemeClr>
              </a:solidFill>
              <a:round/>
            </a:ln>
            <a:effectLst/>
          </c:spPr>
        </c:majorGridlines>
        <c:numFmt formatCode="[$₹-44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4111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 tracker dataset.xlsx]pivot table!PivotTable5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Expenses</a:t>
            </a:r>
            <a:r>
              <a:rPr lang="en-US" baseline="0"/>
              <a:t> per Week</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table'!$A$17:$A$22</c:f>
              <c:strCache>
                <c:ptCount val="5"/>
                <c:pt idx="0">
                  <c:v>38</c:v>
                </c:pt>
                <c:pt idx="1">
                  <c:v>37</c:v>
                </c:pt>
                <c:pt idx="2">
                  <c:v>36</c:v>
                </c:pt>
                <c:pt idx="3">
                  <c:v>40</c:v>
                </c:pt>
                <c:pt idx="4">
                  <c:v>39</c:v>
                </c:pt>
              </c:strCache>
            </c:strRef>
          </c:cat>
          <c:val>
            <c:numRef>
              <c:f>'pivot table'!$B$17:$B$22</c:f>
              <c:numCache>
                <c:formatCode>[$₹-449]\ #,##0.00</c:formatCode>
                <c:ptCount val="5"/>
                <c:pt idx="0">
                  <c:v>11499</c:v>
                </c:pt>
                <c:pt idx="1">
                  <c:v>10599</c:v>
                </c:pt>
                <c:pt idx="2">
                  <c:v>7900</c:v>
                </c:pt>
                <c:pt idx="3">
                  <c:v>6650</c:v>
                </c:pt>
                <c:pt idx="4">
                  <c:v>6350</c:v>
                </c:pt>
              </c:numCache>
            </c:numRef>
          </c:val>
          <c:smooth val="0"/>
          <c:extLst>
            <c:ext xmlns:c16="http://schemas.microsoft.com/office/drawing/2014/chart" uri="{C3380CC4-5D6E-409C-BE32-E72D297353CC}">
              <c16:uniqueId val="{00000000-4A95-4EB5-A298-9D3ED14A1EF0}"/>
            </c:ext>
          </c:extLst>
        </c:ser>
        <c:dLbls>
          <c:showLegendKey val="0"/>
          <c:showVal val="0"/>
          <c:showCatName val="0"/>
          <c:showSerName val="0"/>
          <c:showPercent val="0"/>
          <c:showBubbleSize val="0"/>
        </c:dLbls>
        <c:marker val="1"/>
        <c:smooth val="0"/>
        <c:axId val="1437379840"/>
        <c:axId val="1464235664"/>
      </c:lineChart>
      <c:catAx>
        <c:axId val="14373798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4235664"/>
        <c:crosses val="autoZero"/>
        <c:auto val="1"/>
        <c:lblAlgn val="ctr"/>
        <c:lblOffset val="100"/>
        <c:noMultiLvlLbl val="0"/>
      </c:catAx>
      <c:valAx>
        <c:axId val="1464235664"/>
        <c:scaling>
          <c:orientation val="minMax"/>
        </c:scaling>
        <c:delete val="0"/>
        <c:axPos val="l"/>
        <c:majorGridlines>
          <c:spPr>
            <a:ln w="9525" cap="flat" cmpd="sng" algn="ctr">
              <a:solidFill>
                <a:schemeClr val="tx1">
                  <a:lumMod val="15000"/>
                  <a:lumOff val="85000"/>
                </a:schemeClr>
              </a:solidFill>
              <a:round/>
            </a:ln>
            <a:effectLst/>
          </c:spPr>
        </c:majorGridlines>
        <c:numFmt formatCode="[$₹-449]\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7379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 tracker dataset.xlsx]pivot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Payments</a:t>
            </a:r>
            <a:r>
              <a:rPr lang="en-US" baseline="0"/>
              <a:t> Method Count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 table'!$F$3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AAC-49EC-91A3-FA0EDC5F8AC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AAC-49EC-91A3-FA0EDC5F8AC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AAC-49EC-91A3-FA0EDC5F8AC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table'!$E$4:$E$7</c:f>
              <c:strCache>
                <c:ptCount val="3"/>
                <c:pt idx="0">
                  <c:v>UPI</c:v>
                </c:pt>
                <c:pt idx="1">
                  <c:v>Card</c:v>
                </c:pt>
                <c:pt idx="2">
                  <c:v>Cash</c:v>
                </c:pt>
              </c:strCache>
            </c:strRef>
          </c:cat>
          <c:val>
            <c:numRef>
              <c:f>'pivot table'!$F$4:$F$7</c:f>
              <c:numCache>
                <c:formatCode>General</c:formatCode>
                <c:ptCount val="3"/>
                <c:pt idx="0">
                  <c:v>15</c:v>
                </c:pt>
                <c:pt idx="1">
                  <c:v>8</c:v>
                </c:pt>
                <c:pt idx="2">
                  <c:v>7</c:v>
                </c:pt>
              </c:numCache>
            </c:numRef>
          </c:val>
          <c:extLst>
            <c:ext xmlns:c16="http://schemas.microsoft.com/office/drawing/2014/chart" uri="{C3380CC4-5D6E-409C-BE32-E72D297353CC}">
              <c16:uniqueId val="{00000006-9AAC-49EC-91A3-FA0EDC5F8AC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 tracker dataset.xlsx]pivot table!PivotTable6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Highest Transaction</a:t>
            </a:r>
            <a:r>
              <a:rPr lang="en-US" baseline="0"/>
              <a:t> by Catogory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table'!$F$16</c:f>
              <c:strCache>
                <c:ptCount val="1"/>
                <c:pt idx="0">
                  <c:v>Total</c:v>
                </c:pt>
              </c:strCache>
            </c:strRef>
          </c:tx>
          <c:spPr>
            <a:solidFill>
              <a:schemeClr val="accent1"/>
            </a:solidFill>
            <a:ln>
              <a:noFill/>
            </a:ln>
            <a:effectLst/>
          </c:spPr>
          <c:invertIfNegative val="0"/>
          <c:cat>
            <c:strRef>
              <c:f>'pivot table'!$E$17:$E$24</c:f>
              <c:strCache>
                <c:ptCount val="7"/>
                <c:pt idx="0">
                  <c:v>Food</c:v>
                </c:pt>
                <c:pt idx="1">
                  <c:v>Transport</c:v>
                </c:pt>
                <c:pt idx="2">
                  <c:v>Entertainment</c:v>
                </c:pt>
                <c:pt idx="3">
                  <c:v>Shopping</c:v>
                </c:pt>
                <c:pt idx="4">
                  <c:v>Utilities</c:v>
                </c:pt>
                <c:pt idx="5">
                  <c:v>Education</c:v>
                </c:pt>
                <c:pt idx="6">
                  <c:v>Healthcare</c:v>
                </c:pt>
              </c:strCache>
            </c:strRef>
          </c:cat>
          <c:val>
            <c:numRef>
              <c:f>'pivot table'!$F$17:$F$24</c:f>
              <c:numCache>
                <c:formatCode>General</c:formatCode>
                <c:ptCount val="7"/>
                <c:pt idx="0">
                  <c:v>7</c:v>
                </c:pt>
                <c:pt idx="1">
                  <c:v>5</c:v>
                </c:pt>
                <c:pt idx="2">
                  <c:v>4</c:v>
                </c:pt>
                <c:pt idx="3">
                  <c:v>4</c:v>
                </c:pt>
                <c:pt idx="4">
                  <c:v>4</c:v>
                </c:pt>
                <c:pt idx="5">
                  <c:v>3</c:v>
                </c:pt>
                <c:pt idx="6">
                  <c:v>3</c:v>
                </c:pt>
              </c:numCache>
            </c:numRef>
          </c:val>
          <c:extLst>
            <c:ext xmlns:c16="http://schemas.microsoft.com/office/drawing/2014/chart" uri="{C3380CC4-5D6E-409C-BE32-E72D297353CC}">
              <c16:uniqueId val="{00000000-C334-4597-8A7D-733E282724E8}"/>
            </c:ext>
          </c:extLst>
        </c:ser>
        <c:dLbls>
          <c:showLegendKey val="0"/>
          <c:showVal val="0"/>
          <c:showCatName val="0"/>
          <c:showSerName val="0"/>
          <c:showPercent val="0"/>
          <c:showBubbleSize val="0"/>
        </c:dLbls>
        <c:gapWidth val="150"/>
        <c:axId val="1646049312"/>
        <c:axId val="1464100784"/>
      </c:barChart>
      <c:catAx>
        <c:axId val="1646049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4100784"/>
        <c:crosses val="autoZero"/>
        <c:auto val="1"/>
        <c:lblAlgn val="ctr"/>
        <c:lblOffset val="100"/>
        <c:noMultiLvlLbl val="0"/>
      </c:catAx>
      <c:valAx>
        <c:axId val="1464100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6049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5</xdr:row>
      <xdr:rowOff>22860</xdr:rowOff>
    </xdr:from>
    <xdr:to>
      <xdr:col>7</xdr:col>
      <xdr:colOff>152400</xdr:colOff>
      <xdr:row>19</xdr:row>
      <xdr:rowOff>45720</xdr:rowOff>
    </xdr:to>
    <xdr:graphicFrame macro="">
      <xdr:nvGraphicFramePr>
        <xdr:cNvPr id="2" name="Chart 1">
          <a:extLst>
            <a:ext uri="{FF2B5EF4-FFF2-40B4-BE49-F238E27FC236}">
              <a16:creationId xmlns:a16="http://schemas.microsoft.com/office/drawing/2014/main" id="{83F0B379-AFB2-403C-9A3C-6CB5E0DACC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137160</xdr:colOff>
      <xdr:row>5</xdr:row>
      <xdr:rowOff>129540</xdr:rowOff>
    </xdr:from>
    <xdr:to>
      <xdr:col>14</xdr:col>
      <xdr:colOff>228600</xdr:colOff>
      <xdr:row>19</xdr:row>
      <xdr:rowOff>144780</xdr:rowOff>
    </xdr:to>
    <xdr:graphicFrame macro="">
      <xdr:nvGraphicFramePr>
        <xdr:cNvPr id="3" name="Chart 2">
          <a:extLst>
            <a:ext uri="{FF2B5EF4-FFF2-40B4-BE49-F238E27FC236}">
              <a16:creationId xmlns:a16="http://schemas.microsoft.com/office/drawing/2014/main" id="{A1033A23-1099-4A2B-8842-76D4E57BF8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220980</xdr:colOff>
      <xdr:row>1</xdr:row>
      <xdr:rowOff>22860</xdr:rowOff>
    </xdr:from>
    <xdr:to>
      <xdr:col>7</xdr:col>
      <xdr:colOff>541020</xdr:colOff>
      <xdr:row>4</xdr:row>
      <xdr:rowOff>167640</xdr:rowOff>
    </xdr:to>
    <xdr:sp macro="" textlink="">
      <xdr:nvSpPr>
        <xdr:cNvPr id="4" name="Rectangle: Rounded Corners 3">
          <a:extLst>
            <a:ext uri="{FF2B5EF4-FFF2-40B4-BE49-F238E27FC236}">
              <a16:creationId xmlns:a16="http://schemas.microsoft.com/office/drawing/2014/main" id="{BD2E6AD7-3FF4-DAAC-CED5-D32DED3388C8}"/>
            </a:ext>
          </a:extLst>
        </xdr:cNvPr>
        <xdr:cNvSpPr/>
      </xdr:nvSpPr>
      <xdr:spPr>
        <a:xfrm>
          <a:off x="3268980" y="205740"/>
          <a:ext cx="1539240" cy="6934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Total</a:t>
          </a:r>
          <a:r>
            <a:rPr lang="en-US" sz="1600" b="1" baseline="0"/>
            <a:t> Expenses</a:t>
          </a:r>
          <a:endParaRPr lang="en-US" sz="1600" b="1" i="0" u="none" strike="noStrike" baseline="0">
            <a:solidFill>
              <a:schemeClr val="lt1"/>
            </a:solidFill>
            <a:effectLst/>
            <a:latin typeface="+mn-lt"/>
            <a:ea typeface="+mn-ea"/>
            <a:cs typeface="+mn-cs"/>
          </a:endParaRPr>
        </a:p>
        <a:p>
          <a:pPr algn="ctr"/>
          <a:r>
            <a:rPr lang="en-US" sz="1600" b="1" i="0" u="none" strike="noStrike">
              <a:solidFill>
                <a:schemeClr val="lt1"/>
              </a:solidFill>
              <a:effectLst/>
              <a:latin typeface="+mn-lt"/>
              <a:ea typeface="+mn-ea"/>
              <a:cs typeface="+mn-cs"/>
            </a:rPr>
            <a:t>₹ 42,998.00</a:t>
          </a:r>
          <a:r>
            <a:rPr lang="en-US" sz="1600" b="1">
              <a:effectLst/>
            </a:rPr>
            <a:t> </a:t>
          </a:r>
          <a:endParaRPr lang="en-US" sz="1600" b="1"/>
        </a:p>
      </xdr:txBody>
    </xdr:sp>
    <xdr:clientData/>
  </xdr:twoCellAnchor>
  <xdr:twoCellAnchor>
    <xdr:from>
      <xdr:col>7</xdr:col>
      <xdr:colOff>601980</xdr:colOff>
      <xdr:row>1</xdr:row>
      <xdr:rowOff>38100</xdr:rowOff>
    </xdr:from>
    <xdr:to>
      <xdr:col>11</xdr:col>
      <xdr:colOff>45720</xdr:colOff>
      <xdr:row>5</xdr:row>
      <xdr:rowOff>0</xdr:rowOff>
    </xdr:to>
    <xdr:sp macro="" textlink="">
      <xdr:nvSpPr>
        <xdr:cNvPr id="5" name="Rectangle: Rounded Corners 4">
          <a:extLst>
            <a:ext uri="{FF2B5EF4-FFF2-40B4-BE49-F238E27FC236}">
              <a16:creationId xmlns:a16="http://schemas.microsoft.com/office/drawing/2014/main" id="{B4230ACD-5E8A-434A-A616-E5593E56ED2A}"/>
            </a:ext>
          </a:extLst>
        </xdr:cNvPr>
        <xdr:cNvSpPr/>
      </xdr:nvSpPr>
      <xdr:spPr>
        <a:xfrm>
          <a:off x="4869180" y="220980"/>
          <a:ext cx="1882140" cy="6934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Average</a:t>
          </a:r>
          <a:r>
            <a:rPr lang="en-US" sz="1600" b="1" baseline="0"/>
            <a:t> Expenses </a:t>
          </a:r>
        </a:p>
        <a:p>
          <a:pPr algn="ctr"/>
          <a:r>
            <a:rPr lang="en-US" sz="1600" b="0" i="0" u="none" strike="noStrike">
              <a:solidFill>
                <a:schemeClr val="lt1"/>
              </a:solidFill>
              <a:effectLst/>
              <a:latin typeface="+mn-lt"/>
              <a:ea typeface="+mn-ea"/>
              <a:cs typeface="+mn-cs"/>
            </a:rPr>
            <a:t> ₹ 1,433.27 </a:t>
          </a:r>
          <a:endParaRPr lang="en-US" sz="1600" b="1"/>
        </a:p>
      </xdr:txBody>
    </xdr:sp>
    <xdr:clientData/>
  </xdr:twoCellAnchor>
  <xdr:twoCellAnchor>
    <xdr:from>
      <xdr:col>11</xdr:col>
      <xdr:colOff>91440</xdr:colOff>
      <xdr:row>1</xdr:row>
      <xdr:rowOff>38100</xdr:rowOff>
    </xdr:from>
    <xdr:to>
      <xdr:col>14</xdr:col>
      <xdr:colOff>182880</xdr:colOff>
      <xdr:row>5</xdr:row>
      <xdr:rowOff>15240</xdr:rowOff>
    </xdr:to>
    <xdr:sp macro="" textlink="">
      <xdr:nvSpPr>
        <xdr:cNvPr id="6" name="Rectangle: Rounded Corners 5">
          <a:extLst>
            <a:ext uri="{FF2B5EF4-FFF2-40B4-BE49-F238E27FC236}">
              <a16:creationId xmlns:a16="http://schemas.microsoft.com/office/drawing/2014/main" id="{A30E7814-0725-4777-99A0-9F74A1B95D0A}"/>
            </a:ext>
          </a:extLst>
        </xdr:cNvPr>
        <xdr:cNvSpPr/>
      </xdr:nvSpPr>
      <xdr:spPr>
        <a:xfrm>
          <a:off x="6797040" y="220980"/>
          <a:ext cx="1920240" cy="7086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t>Highest Expenses</a:t>
          </a:r>
          <a:endParaRPr lang="en-US" sz="1400" b="0" i="0" u="none" strike="noStrike">
            <a:solidFill>
              <a:schemeClr val="lt1"/>
            </a:solidFill>
            <a:effectLst/>
            <a:latin typeface="+mn-lt"/>
            <a:ea typeface="+mn-ea"/>
            <a:cs typeface="+mn-cs"/>
          </a:endParaRPr>
        </a:p>
        <a:p>
          <a:pPr algn="ctr"/>
          <a:r>
            <a:rPr lang="en-US" sz="1400" b="0" i="0" u="none" strike="noStrike">
              <a:solidFill>
                <a:schemeClr val="lt1"/>
              </a:solidFill>
              <a:effectLst/>
              <a:latin typeface="+mn-lt"/>
              <a:ea typeface="+mn-ea"/>
              <a:cs typeface="+mn-cs"/>
            </a:rPr>
            <a:t>Food</a:t>
          </a:r>
          <a:endParaRPr lang="en-US" sz="1400"/>
        </a:p>
      </xdr:txBody>
    </xdr:sp>
    <xdr:clientData/>
  </xdr:twoCellAnchor>
  <xdr:twoCellAnchor>
    <xdr:from>
      <xdr:col>0</xdr:col>
      <xdr:colOff>22860</xdr:colOff>
      <xdr:row>19</xdr:row>
      <xdr:rowOff>15240</xdr:rowOff>
    </xdr:from>
    <xdr:to>
      <xdr:col>7</xdr:col>
      <xdr:colOff>152400</xdr:colOff>
      <xdr:row>32</xdr:row>
      <xdr:rowOff>7620</xdr:rowOff>
    </xdr:to>
    <xdr:graphicFrame macro="">
      <xdr:nvGraphicFramePr>
        <xdr:cNvPr id="7" name="Chart 6">
          <a:extLst>
            <a:ext uri="{FF2B5EF4-FFF2-40B4-BE49-F238E27FC236}">
              <a16:creationId xmlns:a16="http://schemas.microsoft.com/office/drawing/2014/main" id="{B96672D9-AA12-4093-9232-EB8923E111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167640</xdr:colOff>
      <xdr:row>19</xdr:row>
      <xdr:rowOff>144780</xdr:rowOff>
    </xdr:from>
    <xdr:to>
      <xdr:col>12</xdr:col>
      <xdr:colOff>449580</xdr:colOff>
      <xdr:row>32</xdr:row>
      <xdr:rowOff>22860</xdr:rowOff>
    </xdr:to>
    <xdr:graphicFrame macro="">
      <xdr:nvGraphicFramePr>
        <xdr:cNvPr id="8" name="Chart 7">
          <a:extLst>
            <a:ext uri="{FF2B5EF4-FFF2-40B4-BE49-F238E27FC236}">
              <a16:creationId xmlns:a16="http://schemas.microsoft.com/office/drawing/2014/main" id="{C5305512-1E1E-4077-93BB-42BD67E813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487680</xdr:colOff>
      <xdr:row>19</xdr:row>
      <xdr:rowOff>60960</xdr:rowOff>
    </xdr:from>
    <xdr:to>
      <xdr:col>18</xdr:col>
      <xdr:colOff>160020</xdr:colOff>
      <xdr:row>32</xdr:row>
      <xdr:rowOff>83820</xdr:rowOff>
    </xdr:to>
    <xdr:graphicFrame macro="">
      <xdr:nvGraphicFramePr>
        <xdr:cNvPr id="9" name="Chart 8">
          <a:extLst>
            <a:ext uri="{FF2B5EF4-FFF2-40B4-BE49-F238E27FC236}">
              <a16:creationId xmlns:a16="http://schemas.microsoft.com/office/drawing/2014/main" id="{8A77F3C2-974E-4CDA-94BF-C539B0A75C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xdr:row>
      <xdr:rowOff>45720</xdr:rowOff>
    </xdr:from>
    <xdr:to>
      <xdr:col>5</xdr:col>
      <xdr:colOff>167640</xdr:colOff>
      <xdr:row>5</xdr:row>
      <xdr:rowOff>7620</xdr:rowOff>
    </xdr:to>
    <xdr:sp macro="" textlink="">
      <xdr:nvSpPr>
        <xdr:cNvPr id="10" name="Rectangle: Rounded Corners 9">
          <a:extLst>
            <a:ext uri="{FF2B5EF4-FFF2-40B4-BE49-F238E27FC236}">
              <a16:creationId xmlns:a16="http://schemas.microsoft.com/office/drawing/2014/main" id="{0612882F-3EDD-441E-B6D0-DE3AB8458938}"/>
            </a:ext>
          </a:extLst>
        </xdr:cNvPr>
        <xdr:cNvSpPr/>
      </xdr:nvSpPr>
      <xdr:spPr>
        <a:xfrm>
          <a:off x="0" y="228600"/>
          <a:ext cx="3215640" cy="6934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chemeClr val="bg2"/>
              </a:solidFill>
            </a:rPr>
            <a:t>Expense Tracker Analysis</a:t>
          </a:r>
        </a:p>
      </xdr:txBody>
    </xdr:sp>
    <xdr:clientData/>
  </xdr:twoCellAnchor>
  <xdr:twoCellAnchor editAs="oneCell">
    <xdr:from>
      <xdr:col>14</xdr:col>
      <xdr:colOff>274320</xdr:colOff>
      <xdr:row>7</xdr:row>
      <xdr:rowOff>175260</xdr:rowOff>
    </xdr:from>
    <xdr:to>
      <xdr:col>18</xdr:col>
      <xdr:colOff>60960</xdr:colOff>
      <xdr:row>19</xdr:row>
      <xdr:rowOff>43815</xdr:rowOff>
    </xdr:to>
    <mc:AlternateContent xmlns:mc="http://schemas.openxmlformats.org/markup-compatibility/2006">
      <mc:Choice xmlns:a14="http://schemas.microsoft.com/office/drawing/2010/main" Requires="a14">
        <xdr:graphicFrame macro="">
          <xdr:nvGraphicFramePr>
            <xdr:cNvPr id="11" name="Category">
              <a:extLst>
                <a:ext uri="{FF2B5EF4-FFF2-40B4-BE49-F238E27FC236}">
                  <a16:creationId xmlns:a16="http://schemas.microsoft.com/office/drawing/2014/main" id="{E3AD9322-C7A3-F6E7-5E69-E71F7F22087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808720" y="1455420"/>
              <a:ext cx="2225040" cy="20631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274320</xdr:colOff>
      <xdr:row>1</xdr:row>
      <xdr:rowOff>60960</xdr:rowOff>
    </xdr:from>
    <xdr:to>
      <xdr:col>18</xdr:col>
      <xdr:colOff>0</xdr:colOff>
      <xdr:row>7</xdr:row>
      <xdr:rowOff>144780</xdr:rowOff>
    </xdr:to>
    <mc:AlternateContent xmlns:mc="http://schemas.openxmlformats.org/markup-compatibility/2006">
      <mc:Choice xmlns:tsle="http://schemas.microsoft.com/office/drawing/2012/timeslicer" Requires="tsle">
        <xdr:graphicFrame macro="">
          <xdr:nvGraphicFramePr>
            <xdr:cNvPr id="13" name="Date">
              <a:extLst>
                <a:ext uri="{FF2B5EF4-FFF2-40B4-BE49-F238E27FC236}">
                  <a16:creationId xmlns:a16="http://schemas.microsoft.com/office/drawing/2014/main" id="{4CC5E7D9-123A-C998-1497-4BBDDFC84AE4}"/>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8808720" y="243840"/>
              <a:ext cx="2164080" cy="11811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eswari R" refreshedDate="46298.688492939815" createdVersion="8" refreshedVersion="8" minRefreshableVersion="3" recordCount="31" xr:uid="{8B5053CB-4BE2-492D-90C2-5FB182BABCAF}">
  <cacheSource type="worksheet">
    <worksheetSource ref="A1:G1048576" sheet="cleaned dataset"/>
  </cacheSource>
  <cacheFields count="7">
    <cacheField name="Expense ID" numFmtId="0">
      <sharedItems containsString="0" containsBlank="1" containsNumber="1" containsInteger="1" minValue="1001" maxValue="1030"/>
    </cacheField>
    <cacheField name="Date" numFmtId="0">
      <sharedItems containsNonDate="0" containsDate="1" containsString="0" containsBlank="1" minDate="2026-09-01T00:00:00" maxDate="2026-10-01T00:00:00" count="31">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m/>
      </sharedItems>
    </cacheField>
    <cacheField name="Category" numFmtId="0">
      <sharedItems containsBlank="1" count="8">
        <s v="Food"/>
        <s v="Transport"/>
        <s v="Entertainment"/>
        <s v="Utilities"/>
        <s v="Shopping"/>
        <s v="Healthcare"/>
        <s v="Education"/>
        <m/>
      </sharedItems>
    </cacheField>
    <cacheField name="Description" numFmtId="0">
      <sharedItems containsBlank="1"/>
    </cacheField>
    <cacheField name="Payment Method" numFmtId="0">
      <sharedItems containsBlank="1" count="4">
        <s v="UPI"/>
        <s v="Cash"/>
        <s v="Card"/>
        <m/>
      </sharedItems>
    </cacheField>
    <cacheField name="Amount" numFmtId="0">
      <sharedItems containsString="0" containsBlank="1" containsNumber="1" containsInteger="1" minValue="300" maxValue="4500" count="27">
        <n v="2450"/>
        <n v="800"/>
        <n v="600"/>
        <n v="1850"/>
        <n v="2200"/>
        <n v="750"/>
        <n v="450"/>
        <n v="1800"/>
        <n v="1200"/>
        <n v="3100"/>
        <n v="499"/>
        <n v="2800"/>
        <n v="999"/>
        <n v="850"/>
        <n v="650"/>
        <n v="1000"/>
        <n v="4500"/>
        <n v="2750"/>
        <n v="900"/>
        <n v="1700"/>
        <n v="350"/>
        <n v="1100"/>
        <n v="2900"/>
        <n v="300"/>
        <n v="1500"/>
        <n v="1950"/>
        <m/>
      </sharedItems>
    </cacheField>
    <cacheField name="Type" numFmtId="0">
      <sharedItems containsBlank="1"/>
    </cacheField>
  </cacheFields>
  <extLst>
    <ext xmlns:x14="http://schemas.microsoft.com/office/spreadsheetml/2009/9/main" uri="{725AE2AE-9491-48be-B2B4-4EB974FC3084}">
      <x14:pivotCacheDefinition pivotCacheId="98297105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eswari R" refreshedDate="46298.717706944444" createdVersion="8" refreshedVersion="8" minRefreshableVersion="3" recordCount="31" xr:uid="{E302B222-13FE-4D0A-9998-2AD92B413717}">
  <cacheSource type="worksheet">
    <worksheetSource ref="A1:H1048576" sheet="cleaned dataset"/>
  </cacheSource>
  <cacheFields count="8">
    <cacheField name="Expense ID" numFmtId="0">
      <sharedItems containsString="0" containsBlank="1" containsNumber="1" containsInteger="1" minValue="1001" maxValue="1030"/>
    </cacheField>
    <cacheField name="Date" numFmtId="0">
      <sharedItems containsNonDate="0" containsDate="1" containsString="0" containsBlank="1" minDate="2026-09-01T00:00:00" maxDate="2026-10-01T00:00:00" count="31">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m/>
      </sharedItems>
    </cacheField>
    <cacheField name="Category" numFmtId="0">
      <sharedItems containsBlank="1" count="8">
        <s v="Food"/>
        <s v="Transport"/>
        <s v="Entertainment"/>
        <s v="Utilities"/>
        <s v="Shopping"/>
        <s v="Healthcare"/>
        <s v="Education"/>
        <m/>
      </sharedItems>
    </cacheField>
    <cacheField name="Description" numFmtId="0">
      <sharedItems containsBlank="1"/>
    </cacheField>
    <cacheField name="Payment Method" numFmtId="0">
      <sharedItems containsBlank="1"/>
    </cacheField>
    <cacheField name="Amount" numFmtId="0">
      <sharedItems containsString="0" containsBlank="1" containsNumber="1" containsInteger="1" minValue="300" maxValue="4500"/>
    </cacheField>
    <cacheField name="Type" numFmtId="0">
      <sharedItems containsBlank="1"/>
    </cacheField>
    <cacheField name="Week" numFmtId="0">
      <sharedItems containsString="0" containsBlank="1" containsNumber="1" containsInteger="1" minValue="36" maxValue="40" count="6">
        <n v="36"/>
        <n v="37"/>
        <n v="38"/>
        <n v="39"/>
        <n v="40"/>
        <m/>
      </sharedItems>
    </cacheField>
  </cacheFields>
  <extLst>
    <ext xmlns:x14="http://schemas.microsoft.com/office/spreadsheetml/2009/9/main" uri="{725AE2AE-9491-48be-B2B4-4EB974FC3084}">
      <x14:pivotCacheDefinition pivotCacheId="13403949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
  <r>
    <n v="1001"/>
    <x v="0"/>
    <x v="0"/>
    <s v="Grocery"/>
    <x v="0"/>
    <x v="0"/>
    <s v="Essential"/>
  </r>
  <r>
    <n v="1002"/>
    <x v="1"/>
    <x v="1"/>
    <s v="Bus Pass"/>
    <x v="1"/>
    <x v="1"/>
    <s v="Essential"/>
  </r>
  <r>
    <n v="1003"/>
    <x v="2"/>
    <x v="2"/>
    <s v="Movie"/>
    <x v="2"/>
    <x v="2"/>
    <s v="Non-Essential"/>
  </r>
  <r>
    <n v="1004"/>
    <x v="3"/>
    <x v="3"/>
    <s v="Electricity Bill"/>
    <x v="0"/>
    <x v="3"/>
    <s v="Essential"/>
  </r>
  <r>
    <n v="1005"/>
    <x v="4"/>
    <x v="4"/>
    <s v="Clothes"/>
    <x v="2"/>
    <x v="4"/>
    <s v="Non-Essential"/>
  </r>
  <r>
    <n v="1006"/>
    <x v="5"/>
    <x v="0"/>
    <s v="Restaurant"/>
    <x v="0"/>
    <x v="5"/>
    <s v="Non-Essential"/>
  </r>
  <r>
    <n v="1007"/>
    <x v="6"/>
    <x v="5"/>
    <s v="Medicines"/>
    <x v="1"/>
    <x v="6"/>
    <s v="Essential"/>
  </r>
  <r>
    <n v="1008"/>
    <x v="7"/>
    <x v="1"/>
    <s v="Fuel"/>
    <x v="0"/>
    <x v="7"/>
    <s v="Essential"/>
  </r>
  <r>
    <n v="1009"/>
    <x v="8"/>
    <x v="6"/>
    <s v="Online Course"/>
    <x v="2"/>
    <x v="8"/>
    <s v="Essential"/>
  </r>
  <r>
    <n v="1010"/>
    <x v="9"/>
    <x v="0"/>
    <s v="Groceries"/>
    <x v="0"/>
    <x v="9"/>
    <s v="Essential"/>
  </r>
  <r>
    <n v="1011"/>
    <x v="10"/>
    <x v="2"/>
    <s v="OTT Subscription"/>
    <x v="2"/>
    <x v="10"/>
    <s v="Non-Essential"/>
  </r>
  <r>
    <n v="1012"/>
    <x v="11"/>
    <x v="4"/>
    <s v="Shoes"/>
    <x v="0"/>
    <x v="11"/>
    <s v="Non-Essential"/>
  </r>
  <r>
    <n v="1013"/>
    <x v="12"/>
    <x v="3"/>
    <s v="Internet Bill"/>
    <x v="0"/>
    <x v="12"/>
    <s v="Essential"/>
  </r>
  <r>
    <n v="1014"/>
    <x v="13"/>
    <x v="0"/>
    <s v="Restaurant"/>
    <x v="1"/>
    <x v="13"/>
    <s v="Non-Essential"/>
  </r>
  <r>
    <n v="1015"/>
    <x v="14"/>
    <x v="1"/>
    <s v="Taxi"/>
    <x v="0"/>
    <x v="14"/>
    <s v="Essential"/>
  </r>
  <r>
    <n v="1016"/>
    <x v="15"/>
    <x v="5"/>
    <s v="Doctor Visit"/>
    <x v="2"/>
    <x v="15"/>
    <s v="Essential"/>
  </r>
  <r>
    <n v="1017"/>
    <x v="16"/>
    <x v="6"/>
    <s v="Books"/>
    <x v="1"/>
    <x v="5"/>
    <s v="Essential"/>
  </r>
  <r>
    <n v="1018"/>
    <x v="17"/>
    <x v="4"/>
    <s v="Electronics"/>
    <x v="2"/>
    <x v="16"/>
    <s v="Non-Essential"/>
  </r>
  <r>
    <n v="1019"/>
    <x v="18"/>
    <x v="0"/>
    <s v="Groceries"/>
    <x v="0"/>
    <x v="17"/>
    <s v="Essential"/>
  </r>
  <r>
    <n v="1020"/>
    <x v="19"/>
    <x v="2"/>
    <s v="Gaming"/>
    <x v="0"/>
    <x v="18"/>
    <s v="Non-Essential"/>
  </r>
  <r>
    <n v="1021"/>
    <x v="20"/>
    <x v="1"/>
    <s v="Fuel"/>
    <x v="0"/>
    <x v="19"/>
    <s v="Essential"/>
  </r>
  <r>
    <n v="1022"/>
    <x v="21"/>
    <x v="3"/>
    <s v="Water Bill"/>
    <x v="1"/>
    <x v="6"/>
    <s v="Essential"/>
  </r>
  <r>
    <n v="1023"/>
    <x v="22"/>
    <x v="0"/>
    <s v="Restaurant"/>
    <x v="2"/>
    <x v="8"/>
    <s v="Non-Essential"/>
  </r>
  <r>
    <n v="1024"/>
    <x v="23"/>
    <x v="6"/>
    <s v="Stationery"/>
    <x v="1"/>
    <x v="20"/>
    <s v="Essential"/>
  </r>
  <r>
    <n v="1025"/>
    <x v="24"/>
    <x v="4"/>
    <s v="Accessories"/>
    <x v="0"/>
    <x v="21"/>
    <s v="Non-Essential"/>
  </r>
  <r>
    <n v="1026"/>
    <x v="25"/>
    <x v="5"/>
    <s v="Medicines"/>
    <x v="0"/>
    <x v="14"/>
    <s v="Essential"/>
  </r>
  <r>
    <n v="1027"/>
    <x v="26"/>
    <x v="0"/>
    <s v="Groceries"/>
    <x v="0"/>
    <x v="22"/>
    <s v="Essential"/>
  </r>
  <r>
    <n v="1028"/>
    <x v="27"/>
    <x v="1"/>
    <s v="Auto"/>
    <x v="1"/>
    <x v="23"/>
    <s v="Essential"/>
  </r>
  <r>
    <n v="1029"/>
    <x v="28"/>
    <x v="2"/>
    <s v="Restaurant"/>
    <x v="2"/>
    <x v="24"/>
    <s v="Non-Essential"/>
  </r>
  <r>
    <n v="1030"/>
    <x v="29"/>
    <x v="3"/>
    <s v="Electricity Bill"/>
    <x v="0"/>
    <x v="25"/>
    <s v="Essential"/>
  </r>
  <r>
    <m/>
    <x v="30"/>
    <x v="7"/>
    <m/>
    <x v="3"/>
    <x v="26"/>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
  <r>
    <n v="1001"/>
    <x v="0"/>
    <x v="0"/>
    <s v="Grocery"/>
    <s v="UPI"/>
    <n v="2450"/>
    <s v="Essential"/>
    <x v="0"/>
  </r>
  <r>
    <n v="1002"/>
    <x v="1"/>
    <x v="1"/>
    <s v="Bus Pass"/>
    <s v="Cash"/>
    <n v="800"/>
    <s v="Essential"/>
    <x v="0"/>
  </r>
  <r>
    <n v="1003"/>
    <x v="2"/>
    <x v="2"/>
    <s v="Movie"/>
    <s v="Card"/>
    <n v="600"/>
    <s v="Non-Essential"/>
    <x v="0"/>
  </r>
  <r>
    <n v="1004"/>
    <x v="3"/>
    <x v="3"/>
    <s v="Electricity Bill"/>
    <s v="UPI"/>
    <n v="1850"/>
    <s v="Essential"/>
    <x v="0"/>
  </r>
  <r>
    <n v="1005"/>
    <x v="4"/>
    <x v="4"/>
    <s v="Clothes"/>
    <s v="Card"/>
    <n v="2200"/>
    <s v="Non-Essential"/>
    <x v="0"/>
  </r>
  <r>
    <n v="1006"/>
    <x v="5"/>
    <x v="0"/>
    <s v="Restaurant"/>
    <s v="UPI"/>
    <n v="750"/>
    <s v="Non-Essential"/>
    <x v="1"/>
  </r>
  <r>
    <n v="1007"/>
    <x v="6"/>
    <x v="5"/>
    <s v="Medicines"/>
    <s v="Cash"/>
    <n v="450"/>
    <s v="Essential"/>
    <x v="1"/>
  </r>
  <r>
    <n v="1008"/>
    <x v="7"/>
    <x v="1"/>
    <s v="Fuel"/>
    <s v="UPI"/>
    <n v="1800"/>
    <s v="Essential"/>
    <x v="1"/>
  </r>
  <r>
    <n v="1009"/>
    <x v="8"/>
    <x v="6"/>
    <s v="Online Course"/>
    <s v="Card"/>
    <n v="1200"/>
    <s v="Essential"/>
    <x v="1"/>
  </r>
  <r>
    <n v="1010"/>
    <x v="9"/>
    <x v="0"/>
    <s v="Groceries"/>
    <s v="UPI"/>
    <n v="3100"/>
    <s v="Essential"/>
    <x v="1"/>
  </r>
  <r>
    <n v="1011"/>
    <x v="10"/>
    <x v="2"/>
    <s v="OTT Subscription"/>
    <s v="Card"/>
    <n v="499"/>
    <s v="Non-Essential"/>
    <x v="1"/>
  </r>
  <r>
    <n v="1012"/>
    <x v="11"/>
    <x v="4"/>
    <s v="Shoes"/>
    <s v="UPI"/>
    <n v="2800"/>
    <s v="Non-Essential"/>
    <x v="1"/>
  </r>
  <r>
    <n v="1013"/>
    <x v="12"/>
    <x v="3"/>
    <s v="Internet Bill"/>
    <s v="UPI"/>
    <n v="999"/>
    <s v="Essential"/>
    <x v="2"/>
  </r>
  <r>
    <n v="1014"/>
    <x v="13"/>
    <x v="0"/>
    <s v="Restaurant"/>
    <s v="Cash"/>
    <n v="850"/>
    <s v="Non-Essential"/>
    <x v="2"/>
  </r>
  <r>
    <n v="1015"/>
    <x v="14"/>
    <x v="1"/>
    <s v="Taxi"/>
    <s v="UPI"/>
    <n v="650"/>
    <s v="Essential"/>
    <x v="2"/>
  </r>
  <r>
    <n v="1016"/>
    <x v="15"/>
    <x v="5"/>
    <s v="Doctor Visit"/>
    <s v="Card"/>
    <n v="1000"/>
    <s v="Essential"/>
    <x v="2"/>
  </r>
  <r>
    <n v="1017"/>
    <x v="16"/>
    <x v="6"/>
    <s v="Books"/>
    <s v="Cash"/>
    <n v="750"/>
    <s v="Essential"/>
    <x v="2"/>
  </r>
  <r>
    <n v="1018"/>
    <x v="17"/>
    <x v="4"/>
    <s v="Electronics"/>
    <s v="Card"/>
    <n v="4500"/>
    <s v="Non-Essential"/>
    <x v="2"/>
  </r>
  <r>
    <n v="1019"/>
    <x v="18"/>
    <x v="0"/>
    <s v="Groceries"/>
    <s v="UPI"/>
    <n v="2750"/>
    <s v="Essential"/>
    <x v="2"/>
  </r>
  <r>
    <n v="1020"/>
    <x v="19"/>
    <x v="2"/>
    <s v="Gaming"/>
    <s v="UPI"/>
    <n v="900"/>
    <s v="Non-Essential"/>
    <x v="3"/>
  </r>
  <r>
    <n v="1021"/>
    <x v="20"/>
    <x v="1"/>
    <s v="Fuel"/>
    <s v="UPI"/>
    <n v="1700"/>
    <s v="Essential"/>
    <x v="3"/>
  </r>
  <r>
    <n v="1022"/>
    <x v="21"/>
    <x v="3"/>
    <s v="Water Bill"/>
    <s v="Cash"/>
    <n v="450"/>
    <s v="Essential"/>
    <x v="3"/>
  </r>
  <r>
    <n v="1023"/>
    <x v="22"/>
    <x v="0"/>
    <s v="Restaurant"/>
    <s v="Card"/>
    <n v="1200"/>
    <s v="Non-Essential"/>
    <x v="3"/>
  </r>
  <r>
    <n v="1024"/>
    <x v="23"/>
    <x v="6"/>
    <s v="Stationery"/>
    <s v="Cash"/>
    <n v="350"/>
    <s v="Essential"/>
    <x v="3"/>
  </r>
  <r>
    <n v="1025"/>
    <x v="24"/>
    <x v="4"/>
    <s v="Accessories"/>
    <s v="UPI"/>
    <n v="1100"/>
    <s v="Non-Essential"/>
    <x v="3"/>
  </r>
  <r>
    <n v="1026"/>
    <x v="25"/>
    <x v="5"/>
    <s v="Medicines"/>
    <s v="UPI"/>
    <n v="650"/>
    <s v="Essential"/>
    <x v="3"/>
  </r>
  <r>
    <n v="1027"/>
    <x v="26"/>
    <x v="0"/>
    <s v="Groceries"/>
    <s v="UPI"/>
    <n v="2900"/>
    <s v="Essential"/>
    <x v="4"/>
  </r>
  <r>
    <n v="1028"/>
    <x v="27"/>
    <x v="1"/>
    <s v="Auto"/>
    <s v="Cash"/>
    <n v="300"/>
    <s v="Essential"/>
    <x v="4"/>
  </r>
  <r>
    <n v="1029"/>
    <x v="28"/>
    <x v="2"/>
    <s v="Restaurant"/>
    <s v="Card"/>
    <n v="1500"/>
    <s v="Non-Essential"/>
    <x v="4"/>
  </r>
  <r>
    <n v="1030"/>
    <x v="29"/>
    <x v="3"/>
    <s v="Electricity Bill"/>
    <s v="UPI"/>
    <n v="1950"/>
    <s v="Essential"/>
    <x v="4"/>
  </r>
  <r>
    <m/>
    <x v="30"/>
    <x v="7"/>
    <m/>
    <m/>
    <m/>
    <m/>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95D670-B979-46CB-9A3E-C8FBC4B1F21E}"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E16:F24" firstHeaderRow="1" firstDataRow="1" firstDataCol="1"/>
  <pivotFields count="8">
    <pivotField showAll="0"/>
    <pivotField dataField="1" showAll="0"/>
    <pivotField axis="axisRow" showAll="0" sortType="descending">
      <items count="9">
        <item x="6"/>
        <item x="2"/>
        <item x="0"/>
        <item x="5"/>
        <item x="4"/>
        <item x="1"/>
        <item x="3"/>
        <item h="1" x="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s>
  <rowFields count="1">
    <field x="2"/>
  </rowFields>
  <rowItems count="8">
    <i>
      <x v="2"/>
    </i>
    <i>
      <x v="5"/>
    </i>
    <i>
      <x v="1"/>
    </i>
    <i>
      <x v="4"/>
    </i>
    <i>
      <x v="6"/>
    </i>
    <i>
      <x/>
    </i>
    <i>
      <x v="3"/>
    </i>
    <i t="grand">
      <x/>
    </i>
  </rowItems>
  <colItems count="1">
    <i/>
  </colItems>
  <dataFields count="1">
    <dataField name="Count of Date" fld="1"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4CDF1B9-4BDC-4830-870B-39E610931B24}" name="PivotTable5"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16:B22" firstHeaderRow="1" firstDataRow="1" firstDataCol="1"/>
  <pivotFields count="8">
    <pivotField showAll="0"/>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pivotField showAll="0"/>
    <pivotField showAll="0"/>
    <pivotField dataField="1" showAll="0"/>
    <pivotField showAll="0"/>
    <pivotField axis="axisRow" showAll="0" sortType="descending">
      <items count="7">
        <item x="0"/>
        <item x="1"/>
        <item x="2"/>
        <item x="3"/>
        <item x="4"/>
        <item h="1" x="5"/>
        <item t="default"/>
      </items>
      <autoSortScope>
        <pivotArea dataOnly="0" outline="0" fieldPosition="0">
          <references count="1">
            <reference field="4294967294" count="1" selected="0">
              <x v="0"/>
            </reference>
          </references>
        </pivotArea>
      </autoSortScope>
    </pivotField>
  </pivotFields>
  <rowFields count="1">
    <field x="7"/>
  </rowFields>
  <rowItems count="6">
    <i>
      <x v="2"/>
    </i>
    <i>
      <x v="1"/>
    </i>
    <i>
      <x/>
    </i>
    <i>
      <x v="4"/>
    </i>
    <i>
      <x v="3"/>
    </i>
    <i t="grand">
      <x/>
    </i>
  </rowItems>
  <colItems count="1">
    <i/>
  </colItems>
  <dataFields count="1">
    <dataField name="Sum of Amount" fld="5" baseField="0" baseItem="0" numFmtId="164"/>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D9BF56D-9612-4AA4-9629-F02338A4DDB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K3:L12" firstHeaderRow="1" firstDataRow="1" firstDataCol="1"/>
  <pivotFields count="7">
    <pivotField showAll="0"/>
    <pivotField showAll="0"/>
    <pivotField axis="axisRow" showAll="0" sortType="descending">
      <items count="9">
        <item x="6"/>
        <item x="2"/>
        <item x="0"/>
        <item x="5"/>
        <item x="4"/>
        <item x="1"/>
        <item x="3"/>
        <item x="7"/>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s>
  <rowFields count="1">
    <field x="2"/>
  </rowFields>
  <rowItems count="9">
    <i>
      <x v="4"/>
    </i>
    <i>
      <x v="2"/>
    </i>
    <i>
      <x v="6"/>
    </i>
    <i>
      <x v="5"/>
    </i>
    <i>
      <x v="1"/>
    </i>
    <i>
      <x/>
    </i>
    <i>
      <x v="3"/>
    </i>
    <i>
      <x v="7"/>
    </i>
    <i t="grand">
      <x/>
    </i>
  </rowItems>
  <colItems count="1">
    <i/>
  </colItems>
  <dataFields count="1">
    <dataField name="Max of Amount" fld="5" subtotal="max" baseField="0" baseItem="0" numFmtId="164"/>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24BD670-994B-4D84-94C3-8AF98F3FA49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3:F7" firstHeaderRow="1" firstDataRow="1" firstDataCol="1"/>
  <pivotFields count="7">
    <pivotField showAll="0"/>
    <pivotField showAll="0"/>
    <pivotField showAll="0">
      <items count="9">
        <item x="6"/>
        <item x="2"/>
        <item x="0"/>
        <item x="5"/>
        <item x="4"/>
        <item x="1"/>
        <item x="3"/>
        <item x="7"/>
        <item t="default"/>
      </items>
    </pivotField>
    <pivotField showAll="0"/>
    <pivotField axis="axisRow" dataField="1" showAll="0" sortType="descending">
      <items count="5">
        <item x="2"/>
        <item x="1"/>
        <item x="0"/>
        <item h="1" x="3"/>
        <item t="default"/>
      </items>
      <autoSortScope>
        <pivotArea dataOnly="0" outline="0" fieldPosition="0">
          <references count="1">
            <reference field="4294967294" count="1" selected="0">
              <x v="0"/>
            </reference>
          </references>
        </pivotArea>
      </autoSortScope>
    </pivotField>
    <pivotField showAll="0"/>
    <pivotField showAll="0"/>
  </pivotFields>
  <rowFields count="1">
    <field x="4"/>
  </rowFields>
  <rowItems count="4">
    <i>
      <x v="2"/>
    </i>
    <i>
      <x/>
    </i>
    <i>
      <x v="1"/>
    </i>
    <i t="grand">
      <x/>
    </i>
  </rowItems>
  <colItems count="1">
    <i/>
  </colItems>
  <dataFields count="1">
    <dataField name="Count of Payment Method" fld="4" subtotal="count" baseField="0"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4" count="1" selected="0">
            <x v="2"/>
          </reference>
        </references>
      </pivotArea>
    </chartFormat>
    <chartFormat chart="3" format="7">
      <pivotArea type="data" outline="0" fieldPosition="0">
        <references count="2">
          <reference field="4294967294" count="1" selected="0">
            <x v="0"/>
          </reference>
          <reference field="4" count="1" selected="0">
            <x v="0"/>
          </reference>
        </references>
      </pivotArea>
    </chartFormat>
    <chartFormat chart="3" format="8">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805EBFE-10AA-4639-94EE-EE3E48BE1CF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K15:L24" firstHeaderRow="1" firstDataRow="1" firstDataCol="1"/>
  <pivotFields count="7">
    <pivotField showAll="0"/>
    <pivotField showAll="0"/>
    <pivotField axis="axisRow" showAll="0" sortType="descending">
      <items count="9">
        <item x="6"/>
        <item x="2"/>
        <item x="0"/>
        <item x="5"/>
        <item x="4"/>
        <item x="1"/>
        <item x="3"/>
        <item x="7"/>
        <item t="default"/>
      </items>
      <autoSortScope>
        <pivotArea dataOnly="0" outline="0" fieldPosition="0">
          <references count="1">
            <reference field="4294967294" count="1" selected="0">
              <x v="0"/>
            </reference>
          </references>
        </pivotArea>
      </autoSortScope>
    </pivotField>
    <pivotField showAll="0"/>
    <pivotField showAll="0"/>
    <pivotField dataField="1" showAll="0">
      <items count="28">
        <item x="23"/>
        <item x="20"/>
        <item x="6"/>
        <item x="10"/>
        <item x="2"/>
        <item x="14"/>
        <item x="5"/>
        <item x="1"/>
        <item x="13"/>
        <item x="18"/>
        <item x="12"/>
        <item x="15"/>
        <item x="21"/>
        <item x="8"/>
        <item x="24"/>
        <item x="19"/>
        <item x="7"/>
        <item x="3"/>
        <item x="25"/>
        <item x="4"/>
        <item x="0"/>
        <item x="17"/>
        <item x="11"/>
        <item x="22"/>
        <item x="9"/>
        <item x="16"/>
        <item x="26"/>
        <item t="default"/>
      </items>
    </pivotField>
    <pivotField showAll="0"/>
  </pivotFields>
  <rowFields count="1">
    <field x="2"/>
  </rowFields>
  <rowItems count="9">
    <i>
      <x v="2"/>
    </i>
    <i>
      <x v="4"/>
    </i>
    <i>
      <x v="5"/>
    </i>
    <i>
      <x v="6"/>
    </i>
    <i>
      <x v="1"/>
    </i>
    <i>
      <x/>
    </i>
    <i>
      <x v="3"/>
    </i>
    <i>
      <x v="7"/>
    </i>
    <i t="grand">
      <x/>
    </i>
  </rowItems>
  <colItems count="1">
    <i/>
  </colItems>
  <dataFields count="1">
    <dataField name="Sum of Amount" fld="5" baseField="0" baseItem="0" numFmtId="164"/>
  </dataFields>
  <formats count="2">
    <format dxfId="41">
      <pivotArea dataOnly="0" labelOnly="1" outline="0" axis="axisValues" fieldPosition="0"/>
    </format>
    <format dxfId="40">
      <pivotArea collapsedLevelsAreSubtotals="1" fieldPosition="0">
        <references count="1">
          <reference field="2" count="1">
            <x v="2"/>
          </reference>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024284A-1708-4D62-AE94-8030058EFBF4}" sourceName="Category">
  <pivotTables>
    <pivotTable tabId="4" name="PivotTable1"/>
    <pivotTable tabId="4" name="PivotTable2"/>
    <pivotTable tabId="4" name="PivotTable3"/>
  </pivotTables>
  <data>
    <tabular pivotCacheId="982971054">
      <items count="8">
        <i x="6" s="1"/>
        <i x="2" s="1"/>
        <i x="0" s="1"/>
        <i x="5" s="1"/>
        <i x="4" s="1"/>
        <i x="1" s="1"/>
        <i x="3" s="1"/>
        <i x="7"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6095D83E-CAA4-4FDB-BB26-292C7D0B2EAC}"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225A82-53F8-4362-8947-23F6C1DF0093}" name="Table1" displayName="Table1" ref="A1:H31" totalsRowShown="0" headerRowDxfId="51" dataDxfId="50">
  <autoFilter ref="A1:H31" xr:uid="{5A225A82-53F8-4362-8947-23F6C1DF0093}"/>
  <tableColumns count="8">
    <tableColumn id="1" xr3:uid="{98582369-1232-4B6C-9D73-DBC9CFC5C507}" name="Expense ID" dataDxfId="49"/>
    <tableColumn id="2" xr3:uid="{9062DEB5-DA75-4921-9BCD-6EDD554A0C97}" name="Date" dataDxfId="48"/>
    <tableColumn id="3" xr3:uid="{AF3A8E06-0D2C-4600-929F-F434FF838E81}" name="Category" dataDxfId="47"/>
    <tableColumn id="4" xr3:uid="{2F32BC8F-6587-46E3-A6A0-D16D2333A55E}" name="Description" dataDxfId="46"/>
    <tableColumn id="5" xr3:uid="{26725BD9-6E2D-4F0A-BF85-AF8B5C5F96DF}" name="Payment Method" dataDxfId="45"/>
    <tableColumn id="6" xr3:uid="{0F7D7C42-0B62-459B-B1C9-43E60A8DEEA1}" name="Amount(INR)" dataDxfId="44"/>
    <tableColumn id="7" xr3:uid="{C4D314A3-FA40-4E51-A08E-8E9EF5E12322}" name="Type" dataDxfId="43"/>
    <tableColumn id="9" xr3:uid="{46FAAA6A-7D8B-4441-B052-05B135F5D371}" name="Week" dataDxfId="42">
      <calculatedColumnFormula>WEEKNUM(Table1[[#This Row],[Date]])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Blue Green">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7C28646A-A196-4F63-9CC4-7FA7CB504694}" sourceName="Date">
  <pivotTables>
    <pivotTable tabId="4" name="PivotTable5"/>
  </pivotTables>
  <state minimalRefreshVersion="6" lastRefreshVersion="6" pivotCacheId="1340394958" filterType="unknown">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519EA9BD-C7F2-4FC2-A36A-6C794B240906}" cache="NativeTimeline_Date" caption="Date" level="3" selectionLevel="3" scrollPosition="2026-08-08T00:00:00"/>
</timeline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B2BC1-08CB-49AE-ADF9-E703851F79D4}">
  <dimension ref="A2:J18"/>
  <sheetViews>
    <sheetView workbookViewId="0">
      <selection activeCell="I8" sqref="I8"/>
    </sheetView>
  </sheetViews>
  <sheetFormatPr defaultRowHeight="14.4" x14ac:dyDescent="0.3"/>
  <cols>
    <col min="9" max="9" width="10.33203125" bestFit="1" customWidth="1"/>
  </cols>
  <sheetData>
    <row r="2" spans="1:10" ht="15.6" x14ac:dyDescent="0.3">
      <c r="A2">
        <v>1</v>
      </c>
      <c r="B2" s="6" t="s">
        <v>40</v>
      </c>
      <c r="I2">
        <f>SUM(Table1[Amount(INR)])</f>
        <v>42998</v>
      </c>
    </row>
    <row r="3" spans="1:10" ht="15.6" x14ac:dyDescent="0.3">
      <c r="A3">
        <v>2</v>
      </c>
      <c r="B3" s="6" t="s">
        <v>41</v>
      </c>
      <c r="I3" s="8" t="s">
        <v>6</v>
      </c>
      <c r="J3">
        <v>14000</v>
      </c>
    </row>
    <row r="4" spans="1:10" ht="15.6" x14ac:dyDescent="0.3">
      <c r="A4">
        <v>3</v>
      </c>
      <c r="B4" s="6" t="s">
        <v>46</v>
      </c>
      <c r="I4">
        <f>SUMIF(Table1[Category],"Food",Table1[Amount(INR)])</f>
        <v>14000</v>
      </c>
    </row>
    <row r="5" spans="1:10" ht="15.6" x14ac:dyDescent="0.3">
      <c r="A5">
        <v>4</v>
      </c>
      <c r="B5" s="6" t="s">
        <v>47</v>
      </c>
      <c r="I5">
        <f>SUMIF(Table1[Type],"Essential",Table1[Amount(INR)])</f>
        <v>26099</v>
      </c>
    </row>
    <row r="6" spans="1:10" x14ac:dyDescent="0.3">
      <c r="B6" s="9" t="s">
        <v>48</v>
      </c>
      <c r="I6">
        <f>SUMIF(Table1[Type],"Non-Essential",Table1[Amount(INR)])</f>
        <v>16899</v>
      </c>
    </row>
    <row r="7" spans="1:10" ht="15.6" x14ac:dyDescent="0.3">
      <c r="A7">
        <v>5</v>
      </c>
      <c r="B7" s="6" t="s">
        <v>49</v>
      </c>
      <c r="I7" s="8" t="s">
        <v>8</v>
      </c>
      <c r="J7">
        <v>15</v>
      </c>
    </row>
    <row r="8" spans="1:10" ht="15.6" x14ac:dyDescent="0.3">
      <c r="A8">
        <v>6</v>
      </c>
      <c r="B8" s="6" t="s">
        <v>51</v>
      </c>
      <c r="I8" s="15">
        <f>AVERAGE(Table1[Amount(INR)])</f>
        <v>1433.2666666666667</v>
      </c>
    </row>
    <row r="9" spans="1:10" ht="15.6" x14ac:dyDescent="0.3">
      <c r="A9">
        <v>7</v>
      </c>
      <c r="B9" s="10" t="s">
        <v>52</v>
      </c>
      <c r="I9" s="8" t="s">
        <v>19</v>
      </c>
      <c r="J9">
        <v>4500</v>
      </c>
    </row>
    <row r="10" spans="1:10" ht="15.6" x14ac:dyDescent="0.3">
      <c r="A10">
        <v>8</v>
      </c>
      <c r="B10" s="6" t="s">
        <v>54</v>
      </c>
      <c r="I10" s="8">
        <v>38</v>
      </c>
      <c r="J10">
        <v>11499</v>
      </c>
    </row>
    <row r="11" spans="1:10" x14ac:dyDescent="0.3">
      <c r="I11" s="8">
        <v>37</v>
      </c>
      <c r="J11">
        <v>10599</v>
      </c>
    </row>
    <row r="12" spans="1:10" x14ac:dyDescent="0.3">
      <c r="I12" s="8">
        <v>36</v>
      </c>
      <c r="J12">
        <v>7900</v>
      </c>
    </row>
    <row r="13" spans="1:10" x14ac:dyDescent="0.3">
      <c r="I13" s="8">
        <v>40</v>
      </c>
      <c r="J13">
        <v>6650</v>
      </c>
    </row>
    <row r="14" spans="1:10" x14ac:dyDescent="0.3">
      <c r="I14" s="8">
        <v>39</v>
      </c>
      <c r="J14">
        <v>6350</v>
      </c>
    </row>
    <row r="16" spans="1:10" x14ac:dyDescent="0.3">
      <c r="A16">
        <v>9</v>
      </c>
      <c r="B16" s="9" t="s">
        <v>56</v>
      </c>
      <c r="C16" s="9"/>
      <c r="D16" s="9"/>
      <c r="E16" s="9"/>
      <c r="F16" s="9"/>
      <c r="I16" s="8" t="s">
        <v>6</v>
      </c>
      <c r="J16">
        <v>7</v>
      </c>
    </row>
    <row r="17" spans="1:9" ht="15.6" x14ac:dyDescent="0.3">
      <c r="A17">
        <v>10</v>
      </c>
      <c r="B17" s="6" t="s">
        <v>58</v>
      </c>
      <c r="I17" s="11">
        <f>SUMIF(Table1[Category],"Shopping",Table1[Amount(INR)])/SUM(Table1[Amount(INR)])</f>
        <v>0.24652309409739989</v>
      </c>
    </row>
    <row r="18" spans="1:9" ht="15.6" x14ac:dyDescent="0.3">
      <c r="A18">
        <v>11</v>
      </c>
      <c r="B18" s="6" t="s">
        <v>59</v>
      </c>
      <c r="I18" s="11">
        <f>SUMIF(Table1[Category],"Transport",Table1[Amount(INR)])/SUM(Table1[Amount(INR)])</f>
        <v>0.12209870226522164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1C3A1-FBFC-4D5A-965D-F95F9C742CA7}">
  <dimension ref="A3:L24"/>
  <sheetViews>
    <sheetView topLeftCell="A2" workbookViewId="0">
      <selection activeCell="E16" sqref="E16"/>
    </sheetView>
  </sheetViews>
  <sheetFormatPr defaultRowHeight="14.4" x14ac:dyDescent="0.3"/>
  <cols>
    <col min="1" max="1" width="12.5546875" bestFit="1" customWidth="1"/>
    <col min="2" max="2" width="14.44140625" bestFit="1" customWidth="1"/>
    <col min="3" max="4" width="4" bestFit="1" customWidth="1"/>
    <col min="5" max="5" width="12.5546875" bestFit="1" customWidth="1"/>
    <col min="6" max="6" width="23.88671875" bestFit="1" customWidth="1"/>
    <col min="7" max="10" width="4" bestFit="1" customWidth="1"/>
    <col min="11" max="11" width="12.6640625" bestFit="1" customWidth="1"/>
    <col min="12" max="12" width="14.33203125" bestFit="1" customWidth="1"/>
    <col min="13" max="27" width="5" bestFit="1" customWidth="1"/>
    <col min="28" max="28" width="7" bestFit="1" customWidth="1"/>
    <col min="29" max="29" width="10.77734375" bestFit="1" customWidth="1"/>
  </cols>
  <sheetData>
    <row r="3" spans="1:12" x14ac:dyDescent="0.3">
      <c r="E3" s="7" t="s">
        <v>44</v>
      </c>
      <c r="F3" t="s">
        <v>50</v>
      </c>
      <c r="K3" s="7" t="s">
        <v>44</v>
      </c>
      <c r="L3" t="s">
        <v>53</v>
      </c>
    </row>
    <row r="4" spans="1:12" x14ac:dyDescent="0.3">
      <c r="E4" s="8" t="s">
        <v>8</v>
      </c>
      <c r="F4" s="12">
        <v>15</v>
      </c>
      <c r="K4" s="8" t="s">
        <v>19</v>
      </c>
      <c r="L4" s="13">
        <v>4500</v>
      </c>
    </row>
    <row r="5" spans="1:12" x14ac:dyDescent="0.3">
      <c r="E5" s="8" t="s">
        <v>15</v>
      </c>
      <c r="F5" s="12">
        <v>8</v>
      </c>
      <c r="K5" s="8" t="s">
        <v>6</v>
      </c>
      <c r="L5" s="13">
        <v>3100</v>
      </c>
    </row>
    <row r="6" spans="1:12" x14ac:dyDescent="0.3">
      <c r="E6" s="8" t="s">
        <v>12</v>
      </c>
      <c r="F6" s="12">
        <v>7</v>
      </c>
      <c r="K6" s="8" t="s">
        <v>17</v>
      </c>
      <c r="L6" s="13">
        <v>1950</v>
      </c>
    </row>
    <row r="7" spans="1:12" x14ac:dyDescent="0.3">
      <c r="E7" s="8" t="s">
        <v>43</v>
      </c>
      <c r="F7" s="12">
        <v>30</v>
      </c>
      <c r="K7" s="8" t="s">
        <v>10</v>
      </c>
      <c r="L7" s="13">
        <v>1800</v>
      </c>
    </row>
    <row r="8" spans="1:12" x14ac:dyDescent="0.3">
      <c r="K8" s="8" t="s">
        <v>13</v>
      </c>
      <c r="L8" s="13">
        <v>1500</v>
      </c>
    </row>
    <row r="9" spans="1:12" x14ac:dyDescent="0.3">
      <c r="K9" s="8" t="s">
        <v>25</v>
      </c>
      <c r="L9" s="13">
        <v>1200</v>
      </c>
    </row>
    <row r="10" spans="1:12" x14ac:dyDescent="0.3">
      <c r="K10" s="8" t="s">
        <v>22</v>
      </c>
      <c r="L10" s="13">
        <v>1000</v>
      </c>
    </row>
    <row r="11" spans="1:12" x14ac:dyDescent="0.3">
      <c r="K11" s="8" t="s">
        <v>42</v>
      </c>
      <c r="L11" s="13"/>
    </row>
    <row r="12" spans="1:12" x14ac:dyDescent="0.3">
      <c r="K12" s="8" t="s">
        <v>43</v>
      </c>
      <c r="L12" s="13">
        <v>4500</v>
      </c>
    </row>
    <row r="15" spans="1:12" x14ac:dyDescent="0.3">
      <c r="K15" s="7" t="s">
        <v>44</v>
      </c>
      <c r="L15" s="13" t="s">
        <v>45</v>
      </c>
    </row>
    <row r="16" spans="1:12" x14ac:dyDescent="0.3">
      <c r="A16" s="7" t="s">
        <v>44</v>
      </c>
      <c r="B16" t="s">
        <v>45</v>
      </c>
      <c r="E16" s="7" t="s">
        <v>44</v>
      </c>
      <c r="F16" t="s">
        <v>57</v>
      </c>
      <c r="K16" s="8" t="s">
        <v>6</v>
      </c>
      <c r="L16" s="14">
        <v>14000</v>
      </c>
    </row>
    <row r="17" spans="1:12" x14ac:dyDescent="0.3">
      <c r="A17" s="8">
        <v>38</v>
      </c>
      <c r="B17" s="13">
        <v>11499</v>
      </c>
      <c r="E17" s="8" t="s">
        <v>6</v>
      </c>
      <c r="F17" s="12">
        <v>7</v>
      </c>
      <c r="K17" s="8" t="s">
        <v>19</v>
      </c>
      <c r="L17" s="13">
        <v>10600</v>
      </c>
    </row>
    <row r="18" spans="1:12" x14ac:dyDescent="0.3">
      <c r="A18" s="8">
        <v>37</v>
      </c>
      <c r="B18" s="13">
        <v>10599</v>
      </c>
      <c r="E18" s="8" t="s">
        <v>10</v>
      </c>
      <c r="F18" s="12">
        <v>5</v>
      </c>
      <c r="K18" s="8" t="s">
        <v>10</v>
      </c>
      <c r="L18" s="13">
        <v>5250</v>
      </c>
    </row>
    <row r="19" spans="1:12" x14ac:dyDescent="0.3">
      <c r="A19" s="8">
        <v>36</v>
      </c>
      <c r="B19" s="13">
        <v>7900</v>
      </c>
      <c r="E19" s="8" t="s">
        <v>13</v>
      </c>
      <c r="F19" s="12">
        <v>4</v>
      </c>
      <c r="K19" s="8" t="s">
        <v>17</v>
      </c>
      <c r="L19" s="13">
        <v>5249</v>
      </c>
    </row>
    <row r="20" spans="1:12" x14ac:dyDescent="0.3">
      <c r="A20" s="8">
        <v>40</v>
      </c>
      <c r="B20" s="13">
        <v>6650</v>
      </c>
      <c r="E20" s="8" t="s">
        <v>19</v>
      </c>
      <c r="F20" s="12">
        <v>4</v>
      </c>
      <c r="K20" s="8" t="s">
        <v>13</v>
      </c>
      <c r="L20" s="13">
        <v>3499</v>
      </c>
    </row>
    <row r="21" spans="1:12" x14ac:dyDescent="0.3">
      <c r="A21" s="8">
        <v>39</v>
      </c>
      <c r="B21" s="13">
        <v>6350</v>
      </c>
      <c r="E21" s="8" t="s">
        <v>17</v>
      </c>
      <c r="F21" s="12">
        <v>4</v>
      </c>
      <c r="K21" s="8" t="s">
        <v>25</v>
      </c>
      <c r="L21" s="13">
        <v>2300</v>
      </c>
    </row>
    <row r="22" spans="1:12" x14ac:dyDescent="0.3">
      <c r="A22" s="8" t="s">
        <v>43</v>
      </c>
      <c r="B22" s="13">
        <v>42998</v>
      </c>
      <c r="E22" s="8" t="s">
        <v>25</v>
      </c>
      <c r="F22" s="12">
        <v>3</v>
      </c>
      <c r="K22" s="8" t="s">
        <v>22</v>
      </c>
      <c r="L22" s="13">
        <v>2100</v>
      </c>
    </row>
    <row r="23" spans="1:12" x14ac:dyDescent="0.3">
      <c r="E23" s="8" t="s">
        <v>22</v>
      </c>
      <c r="F23" s="12">
        <v>3</v>
      </c>
      <c r="K23" s="8" t="s">
        <v>42</v>
      </c>
      <c r="L23" s="13"/>
    </row>
    <row r="24" spans="1:12" x14ac:dyDescent="0.3">
      <c r="E24" s="8" t="s">
        <v>43</v>
      </c>
      <c r="F24" s="12">
        <v>30</v>
      </c>
      <c r="K24" s="8" t="s">
        <v>43</v>
      </c>
      <c r="L24" s="13">
        <v>42998</v>
      </c>
    </row>
  </sheetData>
  <pageMargins left="0.7" right="0.7" top="0.75" bottom="0.75" header="0.3" footer="0.3"/>
  <pageSetup orientation="portrait"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2FA76-9F4B-4DAD-86C4-C5C6AB998603}">
  <dimension ref="A1:I31"/>
  <sheetViews>
    <sheetView workbookViewId="0">
      <selection activeCell="F2" sqref="F2"/>
    </sheetView>
  </sheetViews>
  <sheetFormatPr defaultColWidth="11" defaultRowHeight="24.6" customHeight="1" x14ac:dyDescent="0.3"/>
  <cols>
    <col min="1" max="1" width="12" customWidth="1"/>
    <col min="3" max="3" width="14.88671875" customWidth="1"/>
    <col min="4" max="4" width="14.77734375" bestFit="1" customWidth="1"/>
    <col min="5" max="5" width="17.6640625" customWidth="1"/>
    <col min="6" max="6" width="13.77734375" customWidth="1"/>
    <col min="7" max="7" width="13.109375" customWidth="1"/>
  </cols>
  <sheetData>
    <row r="1" spans="1:9" ht="24.6" customHeight="1" x14ac:dyDescent="0.3">
      <c r="A1" s="2" t="s">
        <v>0</v>
      </c>
      <c r="B1" s="3" t="s">
        <v>1</v>
      </c>
      <c r="C1" s="3" t="s">
        <v>2</v>
      </c>
      <c r="D1" s="3" t="s">
        <v>3</v>
      </c>
      <c r="E1" s="3" t="s">
        <v>4</v>
      </c>
      <c r="F1" s="2" t="s">
        <v>60</v>
      </c>
      <c r="G1" s="3" t="s">
        <v>5</v>
      </c>
      <c r="H1" s="3" t="s">
        <v>55</v>
      </c>
    </row>
    <row r="2" spans="1:9" ht="24.6" customHeight="1" x14ac:dyDescent="0.3">
      <c r="A2" s="1">
        <v>1001</v>
      </c>
      <c r="B2" s="4">
        <v>46266</v>
      </c>
      <c r="C2" s="4" t="s">
        <v>6</v>
      </c>
      <c r="D2" s="5" t="s">
        <v>7</v>
      </c>
      <c r="E2" s="5" t="s">
        <v>8</v>
      </c>
      <c r="F2" s="1">
        <v>2450</v>
      </c>
      <c r="G2" s="5" t="s">
        <v>9</v>
      </c>
      <c r="H2" s="5">
        <f>WEEKNUM(Table1[[#This Row],[Date]])</f>
        <v>36</v>
      </c>
      <c r="I2" t="b">
        <f>ISNUMBER(Table1[[#This Row],[Amount(INR)]])</f>
        <v>1</v>
      </c>
    </row>
    <row r="3" spans="1:9" ht="24.6" customHeight="1" x14ac:dyDescent="0.3">
      <c r="A3" s="1">
        <v>1002</v>
      </c>
      <c r="B3" s="4">
        <v>46267</v>
      </c>
      <c r="C3" s="4" t="s">
        <v>10</v>
      </c>
      <c r="D3" s="5" t="s">
        <v>11</v>
      </c>
      <c r="E3" s="5" t="s">
        <v>12</v>
      </c>
      <c r="F3" s="1">
        <v>800</v>
      </c>
      <c r="G3" s="5" t="s">
        <v>9</v>
      </c>
      <c r="H3" s="5">
        <f>WEEKNUM(Table1[[#This Row],[Date]])</f>
        <v>36</v>
      </c>
      <c r="I3">
        <f>SUM(Table1[Amount(INR)])</f>
        <v>42998</v>
      </c>
    </row>
    <row r="4" spans="1:9" ht="24.6" customHeight="1" x14ac:dyDescent="0.3">
      <c r="A4" s="1">
        <v>1003</v>
      </c>
      <c r="B4" s="4">
        <v>46268</v>
      </c>
      <c r="C4" s="4" t="s">
        <v>13</v>
      </c>
      <c r="D4" s="5" t="s">
        <v>14</v>
      </c>
      <c r="E4" s="5" t="s">
        <v>15</v>
      </c>
      <c r="F4" s="1">
        <v>600</v>
      </c>
      <c r="G4" s="5" t="s">
        <v>16</v>
      </c>
      <c r="H4" s="5">
        <f>WEEKNUM(Table1[[#This Row],[Date]])</f>
        <v>36</v>
      </c>
      <c r="I4">
        <f>SUMIF(Table1[Category],"Food",Table1[Amount(INR)])</f>
        <v>14000</v>
      </c>
    </row>
    <row r="5" spans="1:9" ht="24.6" customHeight="1" x14ac:dyDescent="0.3">
      <c r="A5" s="1">
        <v>1004</v>
      </c>
      <c r="B5" s="4">
        <v>46269</v>
      </c>
      <c r="C5" s="4" t="s">
        <v>17</v>
      </c>
      <c r="D5" s="5" t="s">
        <v>18</v>
      </c>
      <c r="E5" s="5" t="s">
        <v>8</v>
      </c>
      <c r="F5" s="1">
        <v>1850</v>
      </c>
      <c r="G5" s="5" t="s">
        <v>9</v>
      </c>
      <c r="H5" s="5">
        <f>WEEKNUM(Table1[[#This Row],[Date]])</f>
        <v>36</v>
      </c>
      <c r="I5">
        <f>SUMIF(Table1[Type],"Essential",Table1[Amount(INR)])</f>
        <v>26099</v>
      </c>
    </row>
    <row r="6" spans="1:9" ht="24.6" customHeight="1" x14ac:dyDescent="0.3">
      <c r="A6" s="1">
        <v>1005</v>
      </c>
      <c r="B6" s="4">
        <v>46270</v>
      </c>
      <c r="C6" s="4" t="s">
        <v>19</v>
      </c>
      <c r="D6" s="5" t="s">
        <v>20</v>
      </c>
      <c r="E6" s="5" t="s">
        <v>15</v>
      </c>
      <c r="F6" s="1">
        <v>2200</v>
      </c>
      <c r="G6" s="5" t="s">
        <v>16</v>
      </c>
      <c r="H6" s="5">
        <f>WEEKNUM(Table1[[#This Row],[Date]])</f>
        <v>36</v>
      </c>
      <c r="I6">
        <f>SUMIF(Table1[Type],"Non-Essential",Table1[Amount(INR)])</f>
        <v>16899</v>
      </c>
    </row>
    <row r="7" spans="1:9" ht="24.6" customHeight="1" x14ac:dyDescent="0.3">
      <c r="A7" s="1">
        <v>1006</v>
      </c>
      <c r="B7" s="4">
        <v>46271</v>
      </c>
      <c r="C7" s="4" t="s">
        <v>6</v>
      </c>
      <c r="D7" s="5" t="s">
        <v>21</v>
      </c>
      <c r="E7" s="5" t="s">
        <v>8</v>
      </c>
      <c r="F7" s="1">
        <v>750</v>
      </c>
      <c r="G7" s="5" t="s">
        <v>16</v>
      </c>
      <c r="H7" s="5">
        <f>WEEKNUM(Table1[[#This Row],[Date]])</f>
        <v>37</v>
      </c>
      <c r="I7" s="11">
        <f>SUMIF(Table1[Category],"Shopping",Table1[Amount(INR)])/SUM(Table1[Amount(INR)])</f>
        <v>0.24652309409739989</v>
      </c>
    </row>
    <row r="8" spans="1:9" ht="24.6" customHeight="1" x14ac:dyDescent="0.3">
      <c r="A8" s="1">
        <v>1007</v>
      </c>
      <c r="B8" s="4">
        <v>46272</v>
      </c>
      <c r="C8" s="4" t="s">
        <v>22</v>
      </c>
      <c r="D8" s="5" t="s">
        <v>23</v>
      </c>
      <c r="E8" s="5" t="s">
        <v>12</v>
      </c>
      <c r="F8" s="1">
        <v>450</v>
      </c>
      <c r="G8" s="5" t="s">
        <v>9</v>
      </c>
      <c r="H8" s="5">
        <f>WEEKNUM(Table1[[#This Row],[Date]])</f>
        <v>37</v>
      </c>
      <c r="I8" s="11">
        <f>SUMIF(Table1[Category],"Transport",Table1[Amount(INR)])/SUM(Table1[Amount(INR)])</f>
        <v>0.12209870226522164</v>
      </c>
    </row>
    <row r="9" spans="1:9" ht="24.6" customHeight="1" x14ac:dyDescent="0.3">
      <c r="A9" s="1">
        <v>1008</v>
      </c>
      <c r="B9" s="4">
        <v>46273</v>
      </c>
      <c r="C9" s="4" t="s">
        <v>10</v>
      </c>
      <c r="D9" s="5" t="s">
        <v>24</v>
      </c>
      <c r="E9" s="5" t="s">
        <v>8</v>
      </c>
      <c r="F9" s="1">
        <v>1800</v>
      </c>
      <c r="G9" s="5" t="s">
        <v>9</v>
      </c>
      <c r="H9" s="5">
        <f>WEEKNUM(Table1[[#This Row],[Date]])</f>
        <v>37</v>
      </c>
    </row>
    <row r="10" spans="1:9" ht="24.6" customHeight="1" x14ac:dyDescent="0.3">
      <c r="A10" s="1">
        <v>1009</v>
      </c>
      <c r="B10" s="4">
        <v>46274</v>
      </c>
      <c r="C10" s="4" t="s">
        <v>25</v>
      </c>
      <c r="D10" s="5" t="s">
        <v>26</v>
      </c>
      <c r="E10" s="5" t="s">
        <v>15</v>
      </c>
      <c r="F10" s="1">
        <v>1200</v>
      </c>
      <c r="G10" s="5" t="s">
        <v>9</v>
      </c>
      <c r="H10" s="5">
        <f>WEEKNUM(Table1[[#This Row],[Date]])</f>
        <v>37</v>
      </c>
    </row>
    <row r="11" spans="1:9" ht="24.6" customHeight="1" x14ac:dyDescent="0.3">
      <c r="A11" s="1">
        <v>1010</v>
      </c>
      <c r="B11" s="4">
        <v>46275</v>
      </c>
      <c r="C11" s="4" t="s">
        <v>6</v>
      </c>
      <c r="D11" s="5" t="s">
        <v>27</v>
      </c>
      <c r="E11" s="5" t="s">
        <v>8</v>
      </c>
      <c r="F11" s="1">
        <v>3100</v>
      </c>
      <c r="G11" s="5" t="s">
        <v>9</v>
      </c>
      <c r="H11" s="5">
        <f>WEEKNUM(Table1[[#This Row],[Date]])</f>
        <v>37</v>
      </c>
    </row>
    <row r="12" spans="1:9" ht="24.6" customHeight="1" x14ac:dyDescent="0.3">
      <c r="A12" s="1">
        <v>1011</v>
      </c>
      <c r="B12" s="4">
        <v>46276</v>
      </c>
      <c r="C12" s="4" t="s">
        <v>13</v>
      </c>
      <c r="D12" s="5" t="s">
        <v>28</v>
      </c>
      <c r="E12" s="5" t="s">
        <v>15</v>
      </c>
      <c r="F12" s="1">
        <v>499</v>
      </c>
      <c r="G12" s="5" t="s">
        <v>16</v>
      </c>
      <c r="H12" s="5">
        <f>WEEKNUM(Table1[[#This Row],[Date]])</f>
        <v>37</v>
      </c>
    </row>
    <row r="13" spans="1:9" ht="24.6" customHeight="1" x14ac:dyDescent="0.3">
      <c r="A13" s="1">
        <v>1012</v>
      </c>
      <c r="B13" s="4">
        <v>46277</v>
      </c>
      <c r="C13" s="4" t="s">
        <v>19</v>
      </c>
      <c r="D13" s="5" t="s">
        <v>29</v>
      </c>
      <c r="E13" s="5" t="s">
        <v>8</v>
      </c>
      <c r="F13" s="1">
        <v>2800</v>
      </c>
      <c r="G13" s="5" t="s">
        <v>16</v>
      </c>
      <c r="H13" s="5">
        <f>WEEKNUM(Table1[[#This Row],[Date]])</f>
        <v>37</v>
      </c>
    </row>
    <row r="14" spans="1:9" ht="24.6" customHeight="1" x14ac:dyDescent="0.3">
      <c r="A14" s="1">
        <v>1013</v>
      </c>
      <c r="B14" s="4">
        <v>46278</v>
      </c>
      <c r="C14" s="4" t="s">
        <v>17</v>
      </c>
      <c r="D14" s="5" t="s">
        <v>30</v>
      </c>
      <c r="E14" s="5" t="s">
        <v>8</v>
      </c>
      <c r="F14" s="1">
        <v>999</v>
      </c>
      <c r="G14" s="5" t="s">
        <v>9</v>
      </c>
      <c r="H14" s="5">
        <f>WEEKNUM(Table1[[#This Row],[Date]])</f>
        <v>38</v>
      </c>
    </row>
    <row r="15" spans="1:9" ht="24.6" customHeight="1" x14ac:dyDescent="0.3">
      <c r="A15" s="1">
        <v>1014</v>
      </c>
      <c r="B15" s="4">
        <v>46279</v>
      </c>
      <c r="C15" s="4" t="s">
        <v>6</v>
      </c>
      <c r="D15" s="5" t="s">
        <v>21</v>
      </c>
      <c r="E15" s="5" t="s">
        <v>12</v>
      </c>
      <c r="F15" s="1">
        <v>850</v>
      </c>
      <c r="G15" s="5" t="s">
        <v>16</v>
      </c>
      <c r="H15" s="5">
        <f>WEEKNUM(Table1[[#This Row],[Date]])</f>
        <v>38</v>
      </c>
    </row>
    <row r="16" spans="1:9" ht="24.6" customHeight="1" x14ac:dyDescent="0.3">
      <c r="A16" s="1">
        <v>1015</v>
      </c>
      <c r="B16" s="4">
        <v>46280</v>
      </c>
      <c r="C16" s="4" t="s">
        <v>10</v>
      </c>
      <c r="D16" s="5" t="s">
        <v>31</v>
      </c>
      <c r="E16" s="5" t="s">
        <v>8</v>
      </c>
      <c r="F16" s="1">
        <v>650</v>
      </c>
      <c r="G16" s="5" t="s">
        <v>9</v>
      </c>
      <c r="H16" s="5">
        <f>WEEKNUM(Table1[[#This Row],[Date]])</f>
        <v>38</v>
      </c>
    </row>
    <row r="17" spans="1:8" ht="24.6" customHeight="1" x14ac:dyDescent="0.3">
      <c r="A17" s="1">
        <v>1016</v>
      </c>
      <c r="B17" s="4">
        <v>46281</v>
      </c>
      <c r="C17" s="4" t="s">
        <v>22</v>
      </c>
      <c r="D17" s="5" t="s">
        <v>32</v>
      </c>
      <c r="E17" s="5" t="s">
        <v>15</v>
      </c>
      <c r="F17" s="1">
        <v>1000</v>
      </c>
      <c r="G17" s="5" t="s">
        <v>9</v>
      </c>
      <c r="H17" s="5">
        <f>WEEKNUM(Table1[[#This Row],[Date]])</f>
        <v>38</v>
      </c>
    </row>
    <row r="18" spans="1:8" ht="24.6" customHeight="1" x14ac:dyDescent="0.3">
      <c r="A18" s="1">
        <v>1017</v>
      </c>
      <c r="B18" s="4">
        <v>46282</v>
      </c>
      <c r="C18" s="4" t="s">
        <v>25</v>
      </c>
      <c r="D18" s="5" t="s">
        <v>33</v>
      </c>
      <c r="E18" s="5" t="s">
        <v>12</v>
      </c>
      <c r="F18" s="1">
        <v>750</v>
      </c>
      <c r="G18" s="5" t="s">
        <v>9</v>
      </c>
      <c r="H18" s="5">
        <f>WEEKNUM(Table1[[#This Row],[Date]])</f>
        <v>38</v>
      </c>
    </row>
    <row r="19" spans="1:8" ht="24.6" customHeight="1" x14ac:dyDescent="0.3">
      <c r="A19" s="1">
        <v>1018</v>
      </c>
      <c r="B19" s="4">
        <v>46283</v>
      </c>
      <c r="C19" s="4" t="s">
        <v>19</v>
      </c>
      <c r="D19" s="5" t="s">
        <v>34</v>
      </c>
      <c r="E19" s="5" t="s">
        <v>15</v>
      </c>
      <c r="F19" s="1">
        <v>4500</v>
      </c>
      <c r="G19" s="5" t="s">
        <v>16</v>
      </c>
      <c r="H19" s="5">
        <f>WEEKNUM(Table1[[#This Row],[Date]])</f>
        <v>38</v>
      </c>
    </row>
    <row r="20" spans="1:8" ht="24.6" customHeight="1" x14ac:dyDescent="0.3">
      <c r="A20" s="1">
        <v>1019</v>
      </c>
      <c r="B20" s="4">
        <v>46284</v>
      </c>
      <c r="C20" s="4" t="s">
        <v>6</v>
      </c>
      <c r="D20" s="5" t="s">
        <v>27</v>
      </c>
      <c r="E20" s="5" t="s">
        <v>8</v>
      </c>
      <c r="F20" s="1">
        <v>2750</v>
      </c>
      <c r="G20" s="5" t="s">
        <v>9</v>
      </c>
      <c r="H20" s="5">
        <f>WEEKNUM(Table1[[#This Row],[Date]])</f>
        <v>38</v>
      </c>
    </row>
    <row r="21" spans="1:8" ht="24.6" customHeight="1" x14ac:dyDescent="0.3">
      <c r="A21" s="1">
        <v>1020</v>
      </c>
      <c r="B21" s="4">
        <v>46285</v>
      </c>
      <c r="C21" s="4" t="s">
        <v>13</v>
      </c>
      <c r="D21" s="5" t="s">
        <v>35</v>
      </c>
      <c r="E21" s="5" t="s">
        <v>8</v>
      </c>
      <c r="F21" s="1">
        <v>900</v>
      </c>
      <c r="G21" s="5" t="s">
        <v>16</v>
      </c>
      <c r="H21" s="5">
        <f>WEEKNUM(Table1[[#This Row],[Date]])</f>
        <v>39</v>
      </c>
    </row>
    <row r="22" spans="1:8" ht="24.6" customHeight="1" x14ac:dyDescent="0.3">
      <c r="A22" s="1">
        <v>1021</v>
      </c>
      <c r="B22" s="4">
        <v>46286</v>
      </c>
      <c r="C22" s="4" t="s">
        <v>10</v>
      </c>
      <c r="D22" s="5" t="s">
        <v>24</v>
      </c>
      <c r="E22" s="5" t="s">
        <v>8</v>
      </c>
      <c r="F22" s="1">
        <v>1700</v>
      </c>
      <c r="G22" s="5" t="s">
        <v>9</v>
      </c>
      <c r="H22" s="5">
        <f>WEEKNUM(Table1[[#This Row],[Date]])</f>
        <v>39</v>
      </c>
    </row>
    <row r="23" spans="1:8" ht="24.6" customHeight="1" x14ac:dyDescent="0.3">
      <c r="A23" s="1">
        <v>1022</v>
      </c>
      <c r="B23" s="4">
        <v>46287</v>
      </c>
      <c r="C23" s="4" t="s">
        <v>17</v>
      </c>
      <c r="D23" s="5" t="s">
        <v>36</v>
      </c>
      <c r="E23" s="5" t="s">
        <v>12</v>
      </c>
      <c r="F23" s="1">
        <v>450</v>
      </c>
      <c r="G23" s="5" t="s">
        <v>9</v>
      </c>
      <c r="H23" s="5">
        <f>WEEKNUM(Table1[[#This Row],[Date]])</f>
        <v>39</v>
      </c>
    </row>
    <row r="24" spans="1:8" ht="24.6" customHeight="1" x14ac:dyDescent="0.3">
      <c r="A24" s="1">
        <v>1023</v>
      </c>
      <c r="B24" s="4">
        <v>46288</v>
      </c>
      <c r="C24" s="4" t="s">
        <v>6</v>
      </c>
      <c r="D24" s="5" t="s">
        <v>21</v>
      </c>
      <c r="E24" s="5" t="s">
        <v>15</v>
      </c>
      <c r="F24" s="1">
        <v>1200</v>
      </c>
      <c r="G24" s="5" t="s">
        <v>16</v>
      </c>
      <c r="H24" s="5">
        <f>WEEKNUM(Table1[[#This Row],[Date]])</f>
        <v>39</v>
      </c>
    </row>
    <row r="25" spans="1:8" ht="24.6" customHeight="1" x14ac:dyDescent="0.3">
      <c r="A25" s="1">
        <v>1024</v>
      </c>
      <c r="B25" s="4">
        <v>46289</v>
      </c>
      <c r="C25" s="4" t="s">
        <v>25</v>
      </c>
      <c r="D25" s="5" t="s">
        <v>37</v>
      </c>
      <c r="E25" s="5" t="s">
        <v>12</v>
      </c>
      <c r="F25" s="1">
        <v>350</v>
      </c>
      <c r="G25" s="5" t="s">
        <v>9</v>
      </c>
      <c r="H25" s="5">
        <f>WEEKNUM(Table1[[#This Row],[Date]])</f>
        <v>39</v>
      </c>
    </row>
    <row r="26" spans="1:8" ht="24.6" customHeight="1" x14ac:dyDescent="0.3">
      <c r="A26" s="1">
        <v>1025</v>
      </c>
      <c r="B26" s="4">
        <v>46290</v>
      </c>
      <c r="C26" s="4" t="s">
        <v>19</v>
      </c>
      <c r="D26" s="5" t="s">
        <v>38</v>
      </c>
      <c r="E26" s="5" t="s">
        <v>8</v>
      </c>
      <c r="F26" s="1">
        <v>1100</v>
      </c>
      <c r="G26" s="5" t="s">
        <v>16</v>
      </c>
      <c r="H26" s="5">
        <f>WEEKNUM(Table1[[#This Row],[Date]])</f>
        <v>39</v>
      </c>
    </row>
    <row r="27" spans="1:8" ht="24.6" customHeight="1" x14ac:dyDescent="0.3">
      <c r="A27" s="1">
        <v>1026</v>
      </c>
      <c r="B27" s="4">
        <v>46291</v>
      </c>
      <c r="C27" s="4" t="s">
        <v>22</v>
      </c>
      <c r="D27" s="5" t="s">
        <v>23</v>
      </c>
      <c r="E27" s="5" t="s">
        <v>8</v>
      </c>
      <c r="F27" s="1">
        <v>650</v>
      </c>
      <c r="G27" s="5" t="s">
        <v>9</v>
      </c>
      <c r="H27" s="5">
        <f>WEEKNUM(Table1[[#This Row],[Date]])</f>
        <v>39</v>
      </c>
    </row>
    <row r="28" spans="1:8" ht="24.6" customHeight="1" x14ac:dyDescent="0.3">
      <c r="A28" s="1">
        <v>1027</v>
      </c>
      <c r="B28" s="4">
        <v>46292</v>
      </c>
      <c r="C28" s="4" t="s">
        <v>6</v>
      </c>
      <c r="D28" s="5" t="s">
        <v>27</v>
      </c>
      <c r="E28" s="5" t="s">
        <v>8</v>
      </c>
      <c r="F28" s="1">
        <v>2900</v>
      </c>
      <c r="G28" s="5" t="s">
        <v>9</v>
      </c>
      <c r="H28" s="5">
        <f>WEEKNUM(Table1[[#This Row],[Date]])</f>
        <v>40</v>
      </c>
    </row>
    <row r="29" spans="1:8" ht="24.6" customHeight="1" x14ac:dyDescent="0.3">
      <c r="A29" s="1">
        <v>1028</v>
      </c>
      <c r="B29" s="4">
        <v>46293</v>
      </c>
      <c r="C29" s="4" t="s">
        <v>10</v>
      </c>
      <c r="D29" s="5" t="s">
        <v>39</v>
      </c>
      <c r="E29" s="5" t="s">
        <v>12</v>
      </c>
      <c r="F29" s="1">
        <v>300</v>
      </c>
      <c r="G29" s="5" t="s">
        <v>9</v>
      </c>
      <c r="H29" s="5">
        <f>WEEKNUM(Table1[[#This Row],[Date]])</f>
        <v>40</v>
      </c>
    </row>
    <row r="30" spans="1:8" ht="24.6" customHeight="1" x14ac:dyDescent="0.3">
      <c r="A30" s="1">
        <v>1029</v>
      </c>
      <c r="B30" s="4">
        <v>46294</v>
      </c>
      <c r="C30" s="4" t="s">
        <v>13</v>
      </c>
      <c r="D30" s="5" t="s">
        <v>21</v>
      </c>
      <c r="E30" s="5" t="s">
        <v>15</v>
      </c>
      <c r="F30" s="1">
        <v>1500</v>
      </c>
      <c r="G30" s="5" t="s">
        <v>16</v>
      </c>
      <c r="H30" s="5">
        <f>WEEKNUM(Table1[[#This Row],[Date]])</f>
        <v>40</v>
      </c>
    </row>
    <row r="31" spans="1:8" ht="24.6" customHeight="1" x14ac:dyDescent="0.3">
      <c r="A31" s="1">
        <v>1030</v>
      </c>
      <c r="B31" s="4">
        <v>46295</v>
      </c>
      <c r="C31" s="4" t="s">
        <v>17</v>
      </c>
      <c r="D31" s="5" t="s">
        <v>18</v>
      </c>
      <c r="E31" s="5" t="s">
        <v>8</v>
      </c>
      <c r="F31" s="1">
        <v>1950</v>
      </c>
      <c r="G31" s="5" t="s">
        <v>9</v>
      </c>
      <c r="H31" s="5">
        <f>WEEKNUM(Table1[[#This Row],[Date]])</f>
        <v>40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22F3C-E00F-41B6-9BEC-90E0478E7055}">
  <dimension ref="A1"/>
  <sheetViews>
    <sheetView showGridLines="0" showRowColHeaders="0" tabSelected="1" topLeftCell="A2" workbookViewId="0">
      <selection activeCell="T14" sqref="T1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Analysis</vt:lpstr>
      <vt:lpstr>pivot table</vt:lpstr>
      <vt:lpstr>cleaned dataset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Maheswari R</dc:creator>
  <cp:lastModifiedBy>Maheswari R</cp:lastModifiedBy>
  <dcterms:created xsi:type="dcterms:W3CDTF">2026-10-01T22:53:17Z</dcterms:created>
  <dcterms:modified xsi:type="dcterms:W3CDTF">2026-10-04T16:01:34Z</dcterms:modified>
</cp:coreProperties>
</file>